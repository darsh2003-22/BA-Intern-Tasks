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_Overview" sheetId="1" state="visible" r:id="rId2"/>
    <sheet name="Task1_Portfolio" sheetId="2" state="visible" r:id="rId3"/>
    <sheet name="Task2_Global_Markets" sheetId="3" state="visible" r:id="rId4"/>
    <sheet name="Task3_Audience" sheetId="4" state="visible" r:id="rId5"/>
    <sheet name="Task4_Growth_Trends" sheetId="5" state="visible" r:id="rId6"/>
    <sheet name="Task5_Categorie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<sst xmlns="http://schemas.openxmlformats.org/spreadsheetml/2006/main" count="366" uniqueCount="291">
  <si>
    <t xml:space="preserve">AUSPIFY BUSINESS ANALYTICS INTERNSHIP — EXECUTIVE PORTFOLIO DASHBOARD</t>
  </si>
  <si>
    <t xml:space="preserve">Consolidated KPI Summary &amp; Strategic Scorecard Across Tasks 1–6 | Source: Netflix Catalog Dataset (n = 8,790 Titles)</t>
  </si>
  <si>
    <t xml:space="preserve">TOTAL CATALOG TITLES</t>
  </si>
  <si>
    <t xml:space="preserve">MOVIES SHARE</t>
  </si>
  <si>
    <t xml:space="preserve">TV SHOWS SHARE</t>
  </si>
  <si>
    <t xml:space="preserve">GLOBAL MARKETS</t>
  </si>
  <si>
    <t xml:space="preserve">MATURE (18+) SHARE</t>
  </si>
  <si>
    <t xml:space="preserve">PEAK ANNUAL ADDITIONS</t>
  </si>
  <si>
    <t xml:space="preserve">100% Verified Records</t>
  </si>
  <si>
    <t xml:space="preserve">6,126 Feature &amp; Short Films</t>
  </si>
  <si>
    <t xml:space="preserve">2,664 Series (Avg 1.75 Seasons)</t>
  </si>
  <si>
    <t xml:space="preserve">Top Market: USA (36.9% Share)</t>
  </si>
  <si>
    <t xml:space="preserve">4,007 Titles Rated TV-MA / R / NC-17</t>
  </si>
  <si>
    <t xml:space="preserve">Reached in 2019 (+22.3% YoY)</t>
  </si>
  <si>
    <t xml:space="preserve">Internship Tasks Analytical Synthesis &amp; Key Findings</t>
  </si>
  <si>
    <t xml:space="preserve">Task ID</t>
  </si>
  <si>
    <t xml:space="preserve">Task Title</t>
  </si>
  <si>
    <t xml:space="preserve">Complexity</t>
  </si>
  <si>
    <t xml:space="preserve">Primary Metric / KPI</t>
  </si>
  <si>
    <t xml:space="preserve">Verified Dataset Finding</t>
  </si>
  <si>
    <t xml:space="preserve">Core Strategic Recommendation</t>
  </si>
  <si>
    <t xml:space="preserve">Task 1</t>
  </si>
  <si>
    <t xml:space="preserve">Netflix Content Portfolio Analysis</t>
  </si>
  <si>
    <t xml:space="preserve">Easy</t>
  </si>
  <si>
    <t xml:space="preserve">Movie vs. TV Split: 69.7% / 30.3%</t>
  </si>
  <si>
    <t xml:space="preserve">6,126 Movies (mean 99.6 min) vs. 2,664 TV Shows (67.2% single-season)</t>
  </si>
  <si>
    <t xml:space="preserve">Rebalance acquisition toward multi-season returning TV series to reduce subscriber churn</t>
  </si>
  <si>
    <t xml:space="preserve">Task 2</t>
  </si>
  <si>
    <t xml:space="preserve">Global Market Performance Analysis</t>
  </si>
  <si>
    <t xml:space="preserve">Top 3 Markets: 56.1% of Catalog</t>
  </si>
  <si>
    <t xml:space="preserve">USA (3,240), India (1,057), UK (638); APAC (77.1% TV in Korea) leads series mix</t>
  </si>
  <si>
    <t xml:space="preserve">Expand localized series production in India (currently 92.3% movies) and Latin America</t>
  </si>
  <si>
    <t xml:space="preserve">Task 3</t>
  </si>
  <si>
    <t xml:space="preserve">Audience Segmentation Analysis</t>
  </si>
  <si>
    <t xml:space="preserve">Medium</t>
  </si>
  <si>
    <t xml:space="preserve">Adult + Teen Share: 75.7%</t>
  </si>
  <si>
    <t xml:space="preserve">Mature 18+ (45.6%) &amp; Teens 13-17 (30.1%) dominate; Kids/Family represent 23.4%</t>
  </si>
  <si>
    <t xml:space="preserve">Expand Kids (7+) and Family co-viewing slates where TV Shows already hold 57.5% share</t>
  </si>
  <si>
    <t xml:space="preserve">Task 4</t>
  </si>
  <si>
    <t xml:space="preserve">Content Growth &amp; Trend Analysis</t>
  </si>
  <si>
    <t xml:space="preserve">2016–2019 CAGR: +67.9% Additions</t>
  </si>
  <si>
    <t xml:space="preserve">Additions peaked in 2019 (2,016) before COVID-19 slowdown (1,879 in 2020; 1,498 in 2021)</t>
  </si>
  <si>
    <t xml:space="preserve">Increase same-year original releases (52.2% in TV vs. 30.4% in Movies) to offset licensing drops</t>
  </si>
  <si>
    <t xml:space="preserve">Task 5</t>
  </si>
  <si>
    <t xml:space="preserve">Content Category Performance</t>
  </si>
  <si>
    <t xml:space="preserve">Advanced</t>
  </si>
  <si>
    <t xml:space="preserve">42 Genres (Avg 2.19 Tags/Title)</t>
  </si>
  <si>
    <t xml:space="preserve">International Movies (2,752), Dramas (2,426), Comedies (1,674), Intl TV (1,349) lead</t>
  </si>
  <si>
    <t xml:space="preserve">Invest in high-retention cross-border genres: Crime TV (469), Docuseries (394), Anime (245)</t>
  </si>
  <si>
    <t xml:space="preserve">Task 6</t>
  </si>
  <si>
    <t xml:space="preserve">Executive Business Insights Report</t>
  </si>
  <si>
    <t xml:space="preserve">Metadata Completeness: 70.6% Dir</t>
  </si>
  <si>
    <t xml:space="preserve">2,588 titles lack director metadata; 402 unattributed rows default to Pakistan</t>
  </si>
  <si>
    <t xml:space="preserve">Enforce ingestion schema validation and shift capital efficiency toward high-LTV regional hubs</t>
  </si>
  <si>
    <t xml:space="preserve">Global Regional Portfolio Rollup (Linked to Task 2 Analysis)</t>
  </si>
  <si>
    <t xml:space="preserve">Macro Region</t>
  </si>
  <si>
    <t xml:space="preserve">Movies Count</t>
  </si>
  <si>
    <t xml:space="preserve">TV Shows Count</t>
  </si>
  <si>
    <t xml:space="preserve">Total Titles</t>
  </si>
  <si>
    <t xml:space="preserve">Catalog Share (%)</t>
  </si>
  <si>
    <t xml:space="preserve">TV Show Share (%)</t>
  </si>
  <si>
    <t xml:space="preserve">North America (USA &amp; Canada)</t>
  </si>
  <si>
    <t xml:space="preserve">Asia-Pacific (India, Japan, Korea, etc.)</t>
  </si>
  <si>
    <t xml:space="preserve">Europe (UK, France, Spain, Germany, etc.)</t>
  </si>
  <si>
    <t xml:space="preserve">Latin America (Mexico, Brazil, Argentina, etc.)</t>
  </si>
  <si>
    <t xml:space="preserve">Middle East &amp; Africa (Egypt, Nigeria, S. Africa, etc.)</t>
  </si>
  <si>
    <t xml:space="preserve">Other / Smaller Markets</t>
  </si>
  <si>
    <t xml:space="preserve">Unassigned ('Not Given')</t>
  </si>
  <si>
    <t xml:space="preserve">Total Global Catalog</t>
  </si>
  <si>
    <t xml:space="preserve">TASK 1: NETFLIX CONTENT PORTFOLIO ANALYSIS</t>
  </si>
  <si>
    <t xml:space="preserve">Content Type Distribution, Movie Runtime Tiers, TV Show Season Depth &amp; Top Directors | Source: Dataset.csv (n = 8,790)</t>
  </si>
  <si>
    <t xml:space="preserve">TOTAL CATALOG SIZE</t>
  </si>
  <si>
    <t xml:space="preserve">TOTAL MOVIES</t>
  </si>
  <si>
    <t xml:space="preserve">TOTAL TV SHOWS</t>
  </si>
  <si>
    <t xml:space="preserve">MEDIAN MOVIE RUNTIME</t>
  </si>
  <si>
    <t xml:space="preserve">All Verified Titles</t>
  </si>
  <si>
    <t xml:space="preserve">69.7% of Total Portfolio</t>
  </si>
  <si>
    <t xml:space="preserve">30.3% of Total Portfolio</t>
  </si>
  <si>
    <t xml:space="preserve">Mean: 99.6 min (IQR: 87–114 min)</t>
  </si>
  <si>
    <t xml:space="preserve">1A. Portfolio Distribution by Content Type</t>
  </si>
  <si>
    <t xml:space="preserve">Content Type</t>
  </si>
  <si>
    <t xml:space="preserve">Title Count</t>
  </si>
  <si>
    <t xml:space="preserve">Portfolio Share (%)</t>
  </si>
  <si>
    <t xml:space="preserve">Mean Duration / Length</t>
  </si>
  <si>
    <t xml:space="preserve">Same-Year Release Share (%)</t>
  </si>
  <si>
    <t xml:space="preserve">Movie</t>
  </si>
  <si>
    <t xml:space="preserve">99.6 Minutes (Median: 98m)</t>
  </si>
  <si>
    <t xml:space="preserve">TV Show</t>
  </si>
  <si>
    <t xml:space="preserve">1.75 Seasons (Median: 1 Season)</t>
  </si>
  <si>
    <t xml:space="preserve">Total / Portfolio Average</t>
  </si>
  <si>
    <t xml:space="preserve">Weighted Catalog</t>
  </si>
  <si>
    <t xml:space="preserve">1B. Movie Runtime Distribution Analysis</t>
  </si>
  <si>
    <t xml:space="preserve">Movie Runtime Tier</t>
  </si>
  <si>
    <t xml:space="preserve">Movie Count</t>
  </si>
  <si>
    <t xml:space="preserve">Share of Movies (%)</t>
  </si>
  <si>
    <t xml:space="preserve">Share of Total Catalog (%)</t>
  </si>
  <si>
    <t xml:space="preserve">Short Film / Special (&lt;60 min)</t>
  </si>
  <si>
    <t xml:space="preserve">Standard-Short Feature (60–90 min)</t>
  </si>
  <si>
    <t xml:space="preserve">Core Feature Length (91–120 min)</t>
  </si>
  <si>
    <t xml:space="preserve">Long Feature (121–150 min)</t>
  </si>
  <si>
    <t xml:space="preserve">Epic / Extended (&gt;150 min)</t>
  </si>
  <si>
    <t xml:space="preserve">Total Movies</t>
  </si>
  <si>
    <t xml:space="preserve">1C. TV Show Season Depth Breakdown</t>
  </si>
  <si>
    <t xml:space="preserve">Season Count Tier</t>
  </si>
  <si>
    <t xml:space="preserve">TV Show Count</t>
  </si>
  <si>
    <t xml:space="preserve">Share of TV Shows (%)</t>
  </si>
  <si>
    <t xml:space="preserve">1 Season (Limited Series / Unrenewed)</t>
  </si>
  <si>
    <t xml:space="preserve">2 Seasons</t>
  </si>
  <si>
    <t xml:space="preserve">3 Seasons</t>
  </si>
  <si>
    <t xml:space="preserve">4 Seasons</t>
  </si>
  <si>
    <t xml:space="preserve">5 Seasons</t>
  </si>
  <si>
    <t xml:space="preserve">6+ Seasons (Long-Running Franchise)</t>
  </si>
  <si>
    <t xml:space="preserve">Total TV Shows</t>
  </si>
  <si>
    <t xml:space="preserve">TASK 2: GLOBAL MARKET PERFORMANCE ANALYSIS</t>
  </si>
  <si>
    <t xml:space="preserve">Top 20 Content-Producing Countries, Format Mix &amp; Market Concentration | Source: Dataset.csv (85 Countries + 'Not Given')</t>
  </si>
  <si>
    <t xml:space="preserve">UNITED STATES (#1 MARKET)</t>
  </si>
  <si>
    <t xml:space="preserve">INDIA (#2 MARKET)</t>
  </si>
  <si>
    <t xml:space="preserve">UNITED KINGDOM (#3 MARKET)</t>
  </si>
  <si>
    <t xml:space="preserve">TOP 10 COUNTRIES SHARE</t>
  </si>
  <si>
    <t xml:space="preserve">36.9% of Global Catalog</t>
  </si>
  <si>
    <t xml:space="preserve">12.0% Share (92.3% Movies)</t>
  </si>
  <si>
    <t xml:space="preserve">7.3% Share (39.3% TV Shows)</t>
  </si>
  <si>
    <t xml:space="preserve">High Geographic Concentration</t>
  </si>
  <si>
    <t xml:space="preserve">Top 20 Countries by Total Catalog Volume (Plus Rest of World &amp; Unassigned)</t>
  </si>
  <si>
    <t xml:space="preserve">Country / Territory</t>
  </si>
  <si>
    <t xml:space="preserve">Movies</t>
  </si>
  <si>
    <t xml:space="preserve">TV Shows</t>
  </si>
  <si>
    <t xml:space="preserve">Global Share (%)</t>
  </si>
  <si>
    <t xml:space="preserve">Movie Share (%)</t>
  </si>
  <si>
    <t xml:space="preserve">United States</t>
  </si>
  <si>
    <t xml:space="preserve">India</t>
  </si>
  <si>
    <t xml:space="preserve">United Kingdom</t>
  </si>
  <si>
    <t xml:space="preserve">Pakistan *</t>
  </si>
  <si>
    <t xml:space="preserve">Not Given *</t>
  </si>
  <si>
    <t xml:space="preserve">Canada</t>
  </si>
  <si>
    <t xml:space="preserve">Japan</t>
  </si>
  <si>
    <t xml:space="preserve">South Korea</t>
  </si>
  <si>
    <t xml:space="preserve">France</t>
  </si>
  <si>
    <t xml:space="preserve">Spain</t>
  </si>
  <si>
    <t xml:space="preserve">Mexico</t>
  </si>
  <si>
    <t xml:space="preserve">Egypt</t>
  </si>
  <si>
    <t xml:space="preserve">Australia</t>
  </si>
  <si>
    <t xml:space="preserve">Turkey</t>
  </si>
  <si>
    <t xml:space="preserve">Nigeria</t>
  </si>
  <si>
    <t xml:space="preserve">Germany</t>
  </si>
  <si>
    <t xml:space="preserve">China</t>
  </si>
  <si>
    <t xml:space="preserve">Brazil</t>
  </si>
  <si>
    <t xml:space="preserve">Indonesia</t>
  </si>
  <si>
    <t xml:space="preserve">Taiwan</t>
  </si>
  <si>
    <t xml:space="preserve">Rest of World (66 Other Countries)</t>
  </si>
  <si>
    <t xml:space="preserve">* Data Quality Note: In Dataset.csv, 402 of Pakistan's 421 rows (95.5%) have Director = 'Not Given' and include international titles (e.g., Squid Game) imputed during upstream dataset preprocessing. 'Not Given' accounts for 287 unattributed rows.</t>
  </si>
  <si>
    <t xml:space="preserve">TASK 3: AUDIENCE SEGMENTATION &amp; RATING ANALYSIS</t>
  </si>
  <si>
    <t xml:space="preserve">Strategic Demographic Cohorts &amp; Granular MPAA / TV Parental Guidelines Breakdown | Source: Dataset.csv (n = 8,790)</t>
  </si>
  <si>
    <t xml:space="preserve">MATURE ADULTS (18+) COHORT</t>
  </si>
  <si>
    <t xml:space="preserve">TEENS &amp; YA (13–17) COHORT</t>
  </si>
  <si>
    <t xml:space="preserve">KIDS &amp; FAMILY COHORTS</t>
  </si>
  <si>
    <t xml:space="preserve">TOP INDIVIDUAL RATING</t>
  </si>
  <si>
    <t xml:space="preserve">45.6% of Catalog (TV-MA, R, NC-17)</t>
  </si>
  <si>
    <t xml:space="preserve">30.1% of Catalog (TV-14, PG-13)</t>
  </si>
  <si>
    <t xml:space="preserve">23.4% Combined Family &amp; Kids</t>
  </si>
  <si>
    <t xml:space="preserve">TV-MA (36.5% of Total Catalog)</t>
  </si>
  <si>
    <t xml:space="preserve">3A. Strategic Audience Demographic Segments</t>
  </si>
  <si>
    <t xml:space="preserve">Audience Demographic Segment</t>
  </si>
  <si>
    <t xml:space="preserve">Mature / Adults (18+) [TV-MA, R, NC-17]</t>
  </si>
  <si>
    <t xml:space="preserve">Teens &amp; Young Adults (13–17) [TV-14, PG-13]</t>
  </si>
  <si>
    <t xml:space="preserve">Older Kids &amp; Family (Parental Guidance) [TV-PG, PG]</t>
  </si>
  <si>
    <t xml:space="preserve">Young Children &amp; All Ages [TV-Y, TV-G, G]</t>
  </si>
  <si>
    <t xml:space="preserve">Kids (Age 7+) [TV-Y7, TV-Y7-FV]</t>
  </si>
  <si>
    <t xml:space="preserve">Unrated / Not Rated [NR, UR]</t>
  </si>
  <si>
    <t xml:space="preserve">Total Catalog</t>
  </si>
  <si>
    <t xml:space="preserve">3B. Granular Rating Classification Breakdown (All 14 Ratings)</t>
  </si>
  <si>
    <t xml:space="preserve">Rating Code</t>
  </si>
  <si>
    <t xml:space="preserve">Target Audience Group</t>
  </si>
  <si>
    <t xml:space="preserve">TV-MA</t>
  </si>
  <si>
    <t xml:space="preserve">Mature / Adults (18+)</t>
  </si>
  <si>
    <t xml:space="preserve">TV-14</t>
  </si>
  <si>
    <t xml:space="preserve">Teens &amp; Young Adults (13–17)</t>
  </si>
  <si>
    <t xml:space="preserve">TV-PG</t>
  </si>
  <si>
    <t xml:space="preserve">Older Kids &amp; Family</t>
  </si>
  <si>
    <t xml:space="preserve">R</t>
  </si>
  <si>
    <t xml:space="preserve">PG-13</t>
  </si>
  <si>
    <t xml:space="preserve">TV-Y7</t>
  </si>
  <si>
    <t xml:space="preserve">Kids (Age 7+)</t>
  </si>
  <si>
    <t xml:space="preserve">TV-Y</t>
  </si>
  <si>
    <t xml:space="preserve">Young Children &amp; All Ages</t>
  </si>
  <si>
    <t xml:space="preserve">PG</t>
  </si>
  <si>
    <t xml:space="preserve">TV-G</t>
  </si>
  <si>
    <t xml:space="preserve">NR</t>
  </si>
  <si>
    <t xml:space="preserve">Unrated / Not Rated</t>
  </si>
  <si>
    <t xml:space="preserve">G</t>
  </si>
  <si>
    <t xml:space="preserve">TV-Y7-FV</t>
  </si>
  <si>
    <t xml:space="preserve">Kids (Age 7+ Fantasy Violence)</t>
  </si>
  <si>
    <t xml:space="preserve">NC-17</t>
  </si>
  <si>
    <t xml:space="preserve">UR</t>
  </si>
  <si>
    <t xml:space="preserve">Total</t>
  </si>
  <si>
    <t xml:space="preserve">All Ratings</t>
  </si>
  <si>
    <t xml:space="preserve">TASK 4: CONTENT GROWTH, RELEASE TRENDS &amp; SEASONALITY ANALYSIS</t>
  </si>
  <si>
    <t xml:space="preserve">Annual Catalog Additions (2008–2021), Release Year Cohorts &amp; Monthly Addition Seasonality | Source: Dataset.csv</t>
  </si>
  <si>
    <t xml:space="preserve">PEAK ADDITION YEAR (2019)</t>
  </si>
  <si>
    <t xml:space="preserve">PEAK RELEASE YEAR (2018)</t>
  </si>
  <si>
    <t xml:space="preserve">SAME-YEAR RELEASE RATE</t>
  </si>
  <si>
    <t xml:space="preserve">PEAK ADDITION MONTHS</t>
  </si>
  <si>
    <t xml:space="preserve">1,424 Movies + 592 TV Shows</t>
  </si>
  <si>
    <t xml:space="preserve">767 Movies + 379 TV Shows</t>
  </si>
  <si>
    <t xml:space="preserve">3,253 Titles Added in Release Year</t>
  </si>
  <si>
    <t xml:space="preserve">Followed by December (812 Titles)</t>
  </si>
  <si>
    <t xml:space="preserve">4A. Annual Platform Additions &amp; YoY Growth Trajectory (2008–2021)</t>
  </si>
  <si>
    <t xml:space="preserve">Year Added</t>
  </si>
  <si>
    <t xml:space="preserve">Movies Added</t>
  </si>
  <si>
    <t xml:space="preserve">TV Shows Added</t>
  </si>
  <si>
    <t xml:space="preserve">Total Added</t>
  </si>
  <si>
    <t xml:space="preserve">Share of Catalog (%)</t>
  </si>
  <si>
    <t xml:space="preserve">YoY Volume Change</t>
  </si>
  <si>
    <t xml:space="preserve">4B. Monthly Content Addition Seasonality (Jan–Dec)</t>
  </si>
  <si>
    <t xml:space="preserve">Month</t>
  </si>
  <si>
    <t xml:space="preserve">Monthly Share (%)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</si>
  <si>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</si>
  <si>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</si>
  <si>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</si>
  <si>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</si>
  <si>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</si>
  <si>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</si>
  <si>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</si>
  <si>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</si>
  <si>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</si>
  <si>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</si>
  <si>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</si>
  <si>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</si>
  <si>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 Annualized</t>
  </si>
  <si>
    <t xml:space="preserve">TASK 5: CONTENT CATEGORY (GENRE) PERFORMANCE ANALYSIS</t>
  </si>
  <si>
    <t xml:space="preserve">Complete Ranking of All 42 Netflix Genre Categories by Catalog Penetration &amp; Format Type | Source: Dataset.csv (19,294 Genre Tags)</t>
  </si>
  <si>
    <t xml:space="preserve">TOTAL GENRE ASSIGNMENTS</t>
  </si>
  <si>
    <t xml:space="preserve">AVG GENRES PER TITLE</t>
  </si>
  <si>
    <t xml:space="preserve">#1 MOVIE CATEGORY</t>
  </si>
  <si>
    <t xml:space="preserve">#1 TV SHOW CATEGORY</t>
  </si>
  <si>
    <t xml:space="preserve">Across 8,790 Unique Titles</t>
  </si>
  <si>
    <t xml:space="preserve">Multi-Label Genre Tagging</t>
  </si>
  <si>
    <t xml:space="preserve">International Movies (31.3% of Catalog)</t>
  </si>
  <si>
    <t xml:space="preserve">International TV Shows (15.3% of Catalog)</t>
  </si>
  <si>
    <t xml:space="preserve">Complete Performance Ranking of All 42 Content Categories</t>
  </si>
  <si>
    <t xml:space="preserve">Rank</t>
  </si>
  <si>
    <t xml:space="preserve">Category / Genre Name</t>
  </si>
  <si>
    <t xml:space="preserve">Primary Format</t>
  </si>
  <si>
    <t xml:space="preserve">Total Mentions</t>
  </si>
  <si>
    <t xml:space="preserve">Share of Tag Mentions (%)</t>
  </si>
  <si>
    <t xml:space="preserve">Catalog Penetration (%)</t>
  </si>
  <si>
    <t xml:space="preserve">International Movies</t>
  </si>
  <si>
    <t xml:space="preserve">Movie Genre</t>
  </si>
  <si>
    <t xml:space="preserve">Dramas</t>
  </si>
  <si>
    <t xml:space="preserve">Comedies</t>
  </si>
  <si>
    <t xml:space="preserve">International TV Shows</t>
  </si>
  <si>
    <t xml:space="preserve">TV Show Genre</t>
  </si>
  <si>
    <t xml:space="preserve">Documentaries</t>
  </si>
  <si>
    <t xml:space="preserve">Action &amp; Adventure</t>
  </si>
  <si>
    <t xml:space="preserve">TV Dramas</t>
  </si>
  <si>
    <t xml:space="preserve">Independent Movies</t>
  </si>
  <si>
    <t xml:space="preserve">Children &amp; Family Movies</t>
  </si>
  <si>
    <t xml:space="preserve">Romantic Movies</t>
  </si>
  <si>
    <t xml:space="preserve">Thrillers</t>
  </si>
  <si>
    <t xml:space="preserve">TV Comedies</t>
  </si>
  <si>
    <t xml:space="preserve">Crime TV Shows</t>
  </si>
  <si>
    <t xml:space="preserve">Kids' TV</t>
  </si>
  <si>
    <t xml:space="preserve">Docuseries</t>
  </si>
  <si>
    <t xml:space="preserve">Music &amp; Musicals</t>
  </si>
  <si>
    <t xml:space="preserve">Romantic TV Shows</t>
  </si>
  <si>
    <t xml:space="preserve">Horror Movies</t>
  </si>
  <si>
    <t xml:space="preserve">Stand-Up Comedy</t>
  </si>
  <si>
    <t xml:space="preserve">Reality TV</t>
  </si>
  <si>
    <t xml:space="preserve">British TV Shows</t>
  </si>
  <si>
    <t xml:space="preserve">Sci-Fi &amp; Fantasy</t>
  </si>
  <si>
    <t xml:space="preserve">Sports Movies</t>
  </si>
  <si>
    <t xml:space="preserve">Anime Series</t>
  </si>
  <si>
    <t xml:space="preserve">Spanish-Language TV Shows</t>
  </si>
  <si>
    <t xml:space="preserve">TV Action &amp; Adventure</t>
  </si>
  <si>
    <t xml:space="preserve">Korean TV Shows</t>
  </si>
  <si>
    <t xml:space="preserve">Classic Movies</t>
  </si>
  <si>
    <t xml:space="preserve">LGBTQ Movies</t>
  </si>
  <si>
    <t xml:space="preserve">TV Mysteries</t>
  </si>
  <si>
    <t xml:space="preserve">Science &amp; Nature TV</t>
  </si>
  <si>
    <t xml:space="preserve">TV Sci-Fi &amp; Fantasy</t>
  </si>
  <si>
    <t xml:space="preserve">TV Horror</t>
  </si>
  <si>
    <t xml:space="preserve">Anime Features</t>
  </si>
  <si>
    <t xml:space="preserve">Cult Movies</t>
  </si>
  <si>
    <t xml:space="preserve">Teen TV Shows</t>
  </si>
  <si>
    <t xml:space="preserve">Faith &amp; Spirituality</t>
  </si>
  <si>
    <t xml:space="preserve">TV Thrillers</t>
  </si>
  <si>
    <t xml:space="preserve">Stand-Up Comedy &amp; Talk Shows</t>
  </si>
  <si>
    <t xml:space="preserve">Classic &amp; Cult TV</t>
  </si>
  <si>
    <t xml:space="preserve">-</t>
  </si>
  <si>
    <t xml:space="preserve">Total Genre Assignments (42 Categories)</t>
  </si>
  <si>
    <t xml:space="preserve">All Formats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</si>
</sst>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&quot; min&quot;"/>
    <numFmt numFmtId="168" formatCode="#,##0&quot; (July)&quot;"/>
    <numFmt numFmtId="169" formatCode="0.0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E0E6ED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4"/>
      <color rgb="FF1B263B"/>
      <name val="Calibri"/>
      <family val="0"/>
      <charset val="1"/>
    </font>
    <font>
      <i val="true"/>
      <sz val="8"/>
      <color rgb="FF57606A"/>
      <name val="Calibri"/>
      <family val="0"/>
      <charset val="1"/>
    </font>
    <font>
      <b val="true"/>
      <sz val="12"/>
      <color rgb="FF1B263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2328"/>
      <name val="Calibri"/>
      <family val="0"/>
      <charset val="1"/>
    </font>
    <font>
      <sz val="10"/>
      <color rgb="FF1F2328"/>
      <name val="Calibri"/>
      <family val="0"/>
      <charset val="1"/>
    </font>
    <font>
      <b val="true"/>
      <sz val="11"/>
      <color rgb="FF1B263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7606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63B"/>
        <bgColor rgb="FF1F2328"/>
      </patternFill>
    </fill>
    <fill>
      <patternFill patternType="solid">
        <fgColor rgb="FF415A77"/>
        <bgColor rgb="FF57606A"/>
      </patternFill>
    </fill>
    <fill>
      <patternFill patternType="solid">
        <fgColor rgb="FFB21E2B"/>
        <bgColor rgb="FFBE4B48"/>
      </patternFill>
    </fill>
    <fill>
      <patternFill patternType="solid">
        <fgColor rgb="FFF8F9FA"/>
        <bgColor rgb="FFF9F9F9"/>
      </patternFill>
    </fill>
    <fill>
      <patternFill patternType="solid">
        <fgColor rgb="FFF4F6F9"/>
        <bgColor rgb="FFF8F9FA"/>
      </patternFill>
    </fill>
    <fill>
      <patternFill patternType="solid">
        <fgColor rgb="FFE8EEF5"/>
        <bgColor rgb="FFE0E6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1B263B"/>
      </top>
      <bottom style="double">
        <color rgb="FF1B26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9F9F9"/>
      <rgbColor rgb="FFE8EEF5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6ED"/>
      <rgbColor rgb="FFF4F6F9"/>
      <rgbColor rgb="FFF8F9FA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7606A"/>
      <rgbColor rgb="FF969696"/>
      <rgbColor rgb="FF003366"/>
      <rgbColor rgb="FF4F81BD"/>
      <rgbColor rgb="FF003300"/>
      <rgbColor rgb="FF1F2328"/>
      <rgbColor rgb="FFB21E2B"/>
      <rgbColor rgb="FFC0504D"/>
      <rgbColor rgb="FF415A77"/>
      <rgbColor rgb="FF1B26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Catalog by Macro Region (Movies vs. TV Shows)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Executive_Overview!B19</c:f>
              <c:strCache>
                <c:ptCount val="1"/>
                <c:pt idx="0">
                  <c:v>Movies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Executive_Overview!$A$20:$A$26</c:f>
              <c:strCache>
                <c:ptCount val="7"/>
                <c:pt idx="0">
                  <c:v>North America (USA &amp; Canada)</c:v>
                </c:pt>
                <c:pt idx="1">
                  <c:v>Asia-Pacific (India, Japan, Korea, etc.)</c:v>
                </c:pt>
                <c:pt idx="2">
                  <c:v>Europe (UK, France, Spain, Germany, etc.)</c:v>
                </c:pt>
                <c:pt idx="3">
                  <c:v>Latin America (Mexico, Brazil, Argentina, etc.)</c:v>
                </c:pt>
                <c:pt idx="4">
                  <c:v>Middle East &amp; Africa (Egypt, Nigeria, S. Africa, etc.)</c:v>
                </c:pt>
                <c:pt idx="5">
                  <c:v>Other / Smaller Markets</c:v>
                </c:pt>
                <c:pt idx="6">
                  <c:v>Unassigned ('Not Given')</c:v>
                </c:pt>
              </c:strCache>
            </c:strRef>
          </c:cat>
          <c:val>
            <c:numRef>
              <c:f>Executive_Overview!$B$20:$B$26</c:f>
              <c:numCache>
                <c:formatCode>General</c:formatCode>
                <c:ptCount val="7"/>
                <c:pt idx="0">
                  <c:v>2582</c:v>
                </c:pt>
                <c:pt idx="1">
                  <c:v>1648</c:v>
                </c:pt>
                <c:pt idx="2">
                  <c:v>983</c:v>
                </c:pt>
                <c:pt idx="3">
                  <c:v>241</c:v>
                </c:pt>
                <c:pt idx="4">
                  <c:v>302</c:v>
                </c:pt>
                <c:pt idx="5">
                  <c:v>113</c:v>
                </c:pt>
                <c:pt idx="6">
                  <c:v>257</c:v>
                </c:pt>
              </c:numCache>
            </c:numRef>
          </c:val>
        </c:ser>
        <c:ser>
          <c:idx val="1"/>
          <c:order val="1"/>
          <c:tx>
            <c:strRef>
              <c:f>Executive_Overview!C19</c:f>
              <c:strCache>
                <c:ptCount val="1"/>
                <c:pt idx="0">
                  <c:v>TV Shows Count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Executive_Overview!$A$20:$A$26</c:f>
              <c:strCache>
                <c:ptCount val="7"/>
                <c:pt idx="0">
                  <c:v>North America (USA &amp; Canada)</c:v>
                </c:pt>
                <c:pt idx="1">
                  <c:v>Asia-Pacific (India, Japan, Korea, etc.)</c:v>
                </c:pt>
                <c:pt idx="2">
                  <c:v>Europe (UK, France, Spain, Germany, etc.)</c:v>
                </c:pt>
                <c:pt idx="3">
                  <c:v>Latin America (Mexico, Brazil, Argentina, etc.)</c:v>
                </c:pt>
                <c:pt idx="4">
                  <c:v>Middle East &amp; Africa (Egypt, Nigeria, S. Africa, etc.)</c:v>
                </c:pt>
                <c:pt idx="5">
                  <c:v>Other / Smaller Markets</c:v>
                </c:pt>
                <c:pt idx="6">
                  <c:v>Unassigned ('Not Given')</c:v>
                </c:pt>
              </c:strCache>
            </c:strRef>
          </c:cat>
          <c:val>
            <c:numRef>
              <c:f>Executive_Overview!$C$20:$C$26</c:f>
              <c:numCache>
                <c:formatCode>General</c:formatCode>
                <c:ptCount val="7"/>
                <c:pt idx="0">
                  <c:v>929</c:v>
                </c:pt>
                <c:pt idx="1">
                  <c:v>992</c:v>
                </c:pt>
                <c:pt idx="2">
                  <c:v>504</c:v>
                </c:pt>
                <c:pt idx="3">
                  <c:v>125</c:v>
                </c:pt>
                <c:pt idx="4">
                  <c:v>54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</c:ser>
        <c:gapWidth val="150"/>
        <c:overlap val="0"/>
        <c:axId val="40544520"/>
        <c:axId val="38833396"/>
      </c:barChart>
      <c:catAx>
        <c:axId val="405445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Macro 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33396"/>
        <c:crosses val="autoZero"/>
        <c:auto val="1"/>
        <c:lblAlgn val="ctr"/>
        <c:lblOffset val="100"/>
        <c:noMultiLvlLbl val="0"/>
      </c:catAx>
      <c:valAx>
        <c:axId val="38833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445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Movie Portfolio by Runtime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Task1_Portfolio!B15</c:f>
              <c:strCache>
                <c:ptCount val="1"/>
                <c:pt idx="0">
                  <c:v>Movie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Task1_Portfolio!$A$16:$A$20</c:f>
              <c:strCache>
                <c:ptCount val="5"/>
                <c:pt idx="0">
                  <c:v>Short Film / Special (&lt;60 min)</c:v>
                </c:pt>
                <c:pt idx="1">
                  <c:v>Standard-Short Feature (60–90 min)</c:v>
                </c:pt>
                <c:pt idx="2">
                  <c:v>Core Feature Length (91–120 min)</c:v>
                </c:pt>
                <c:pt idx="3">
                  <c:v>Long Feature (121–150 min)</c:v>
                </c:pt>
                <c:pt idx="4">
                  <c:v>Epic / Extended (&gt;150 min)</c:v>
                </c:pt>
              </c:strCache>
            </c:strRef>
          </c:cat>
          <c:val>
            <c:numRef>
              <c:f>Task1_Portfolio!$B$16:$B$20</c:f>
              <c:numCache>
                <c:formatCode>General</c:formatCode>
                <c:ptCount val="5"/>
                <c:pt idx="0">
                  <c:v>486</c:v>
                </c:pt>
                <c:pt idx="1">
                  <c:v>1503</c:v>
                </c:pt>
                <c:pt idx="2">
                  <c:v>2995</c:v>
                </c:pt>
                <c:pt idx="3">
                  <c:v>897</c:v>
                </c:pt>
                <c:pt idx="4">
                  <c:v>245</c:v>
                </c:pt>
              </c:numCache>
            </c:numRef>
          </c:val>
        </c:ser>
        <c:gapWidth val="150"/>
        <c:overlap val="0"/>
        <c:axId val="29126928"/>
        <c:axId val="22122353"/>
      </c:barChart>
      <c:catAx>
        <c:axId val="291269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Runtime Tier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22353"/>
        <c:crosses val="autoZero"/>
        <c:auto val="1"/>
        <c:lblAlgn val="ctr"/>
        <c:lblOffset val="100"/>
        <c:noMultiLvlLbl val="0"/>
      </c:catAx>
      <c:valAx>
        <c:axId val="22122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Movies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269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TV Show Portfolio by Season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Task1_Portfolio!B25</c:f>
              <c:strCache>
                <c:ptCount val="1"/>
                <c:pt idx="0">
                  <c:v>TV Show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Task1_Portfolio!$A$26:$A$31</c:f>
              <c:strCache>
                <c:ptCount val="6"/>
                <c:pt idx="0">
                  <c:v>1 Season (Limited Series / Unrenewed)</c:v>
                </c:pt>
                <c:pt idx="1">
                  <c:v>2 Seasons</c:v>
                </c:pt>
                <c:pt idx="2">
                  <c:v>3 Seasons</c:v>
                </c:pt>
                <c:pt idx="3">
                  <c:v>4 Seasons</c:v>
                </c:pt>
                <c:pt idx="4">
                  <c:v>5 Seasons</c:v>
                </c:pt>
                <c:pt idx="5">
                  <c:v>6+ Seasons (Long-Running Franchise)</c:v>
                </c:pt>
              </c:strCache>
            </c:strRef>
          </c:cat>
          <c:val>
            <c:numRef>
              <c:f>Task1_Portfolio!$B$26:$B$31</c:f>
              <c:numCache>
                <c:formatCode>General</c:formatCode>
                <c:ptCount val="6"/>
                <c:pt idx="0">
                  <c:v>1791</c:v>
                </c:pt>
                <c:pt idx="1">
                  <c:v>421</c:v>
                </c:pt>
                <c:pt idx="2">
                  <c:v>198</c:v>
                </c:pt>
                <c:pt idx="3">
                  <c:v>94</c:v>
                </c:pt>
                <c:pt idx="4">
                  <c:v>64</c:v>
                </c:pt>
                <c:pt idx="5">
                  <c:v>96</c:v>
                </c:pt>
              </c:numCache>
            </c:numRef>
          </c:val>
        </c:ser>
        <c:gapWidth val="150"/>
        <c:overlap val="0"/>
        <c:axId val="57648146"/>
        <c:axId val="4664240"/>
      </c:barChart>
      <c:catAx>
        <c:axId val="576481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Season Tier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4240"/>
        <c:crosses val="autoZero"/>
        <c:auto val="1"/>
        <c:lblAlgn val="ctr"/>
        <c:lblOffset val="100"/>
        <c:noMultiLvlLbl val="0"/>
      </c:catAx>
      <c:valAx>
        <c:axId val="4664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TV Shows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481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12 Countries by Content Volume (Movies vs. TV Shows)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Task2_Global_Markets!B8</c:f>
              <c:strCache>
                <c:ptCount val="1"/>
                <c:pt idx="0">
                  <c:v>Movies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Task2_Global_Markets!$A$9:$A$20</c:f>
              <c:strCache>
                <c:ptCount val="12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 *</c:v>
                </c:pt>
                <c:pt idx="4">
                  <c:v>Not Given *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  <c:pt idx="10">
                  <c:v>Mexico</c:v>
                </c:pt>
                <c:pt idx="11">
                  <c:v>Egypt</c:v>
                </c:pt>
              </c:strCache>
            </c:strRef>
          </c:cat>
          <c:val>
            <c:numRef>
              <c:f>Task2_Global_Markets!$B$9:$B$20</c:f>
              <c:numCache>
                <c:formatCode>General</c:formatCode>
                <c:ptCount val="12"/>
                <c:pt idx="0">
                  <c:v>2395</c:v>
                </c:pt>
                <c:pt idx="1">
                  <c:v>976</c:v>
                </c:pt>
                <c:pt idx="2">
                  <c:v>387</c:v>
                </c:pt>
                <c:pt idx="3">
                  <c:v>71</c:v>
                </c:pt>
                <c:pt idx="4">
                  <c:v>257</c:v>
                </c:pt>
                <c:pt idx="5">
                  <c:v>187</c:v>
                </c:pt>
                <c:pt idx="6">
                  <c:v>87</c:v>
                </c:pt>
                <c:pt idx="7">
                  <c:v>49</c:v>
                </c:pt>
                <c:pt idx="8">
                  <c:v>148</c:v>
                </c:pt>
                <c:pt idx="9">
                  <c:v>129</c:v>
                </c:pt>
                <c:pt idx="10">
                  <c:v>90</c:v>
                </c:pt>
                <c:pt idx="11">
                  <c:v>109</c:v>
                </c:pt>
              </c:numCache>
            </c:numRef>
          </c:val>
        </c:ser>
        <c:ser>
          <c:idx val="1"/>
          <c:order val="1"/>
          <c:tx>
            <c:strRef>
              <c:f>Task2_Global_Markets!C8</c:f>
              <c:strCache>
                <c:ptCount val="1"/>
                <c:pt idx="0">
                  <c:v>TV Shows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Task2_Global_Markets!$A$9:$A$20</c:f>
              <c:strCache>
                <c:ptCount val="12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 *</c:v>
                </c:pt>
                <c:pt idx="4">
                  <c:v>Not Given *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  <c:pt idx="10">
                  <c:v>Mexico</c:v>
                </c:pt>
                <c:pt idx="11">
                  <c:v>Egypt</c:v>
                </c:pt>
              </c:strCache>
            </c:strRef>
          </c:cat>
          <c:val>
            <c:numRef>
              <c:f>Task2_Global_Markets!$C$9:$C$20</c:f>
              <c:numCache>
                <c:formatCode>General</c:formatCode>
                <c:ptCount val="12"/>
                <c:pt idx="0">
                  <c:v>845</c:v>
                </c:pt>
                <c:pt idx="1">
                  <c:v>81</c:v>
                </c:pt>
                <c:pt idx="2">
                  <c:v>251</c:v>
                </c:pt>
                <c:pt idx="3">
                  <c:v>350</c:v>
                </c:pt>
                <c:pt idx="4">
                  <c:v>30</c:v>
                </c:pt>
                <c:pt idx="5">
                  <c:v>84</c:v>
                </c:pt>
                <c:pt idx="6">
                  <c:v>172</c:v>
                </c:pt>
                <c:pt idx="7">
                  <c:v>165</c:v>
                </c:pt>
                <c:pt idx="8">
                  <c:v>65</c:v>
                </c:pt>
                <c:pt idx="9">
                  <c:v>53</c:v>
                </c:pt>
                <c:pt idx="10">
                  <c:v>48</c:v>
                </c:pt>
                <c:pt idx="11">
                  <c:v>14</c:v>
                </c:pt>
              </c:numCache>
            </c:numRef>
          </c:val>
        </c:ser>
        <c:gapWidth val="150"/>
        <c:overlap val="0"/>
        <c:axId val="40591709"/>
        <c:axId val="36370849"/>
      </c:barChart>
      <c:catAx>
        <c:axId val="4059170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70849"/>
        <c:crosses val="autoZero"/>
        <c:auto val="1"/>
        <c:lblAlgn val="ctr"/>
        <c:lblOffset val="100"/>
        <c:noMultiLvlLbl val="0"/>
      </c:catAx>
      <c:valAx>
        <c:axId val="36370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917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Catalog Distribution by Audience Segment (Movies vs. TV)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Task3_Audience!B8</c:f>
              <c:strCache>
                <c:ptCount val="1"/>
                <c:pt idx="0">
                  <c:v>Movies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Task3_Audience!$A$9:$A$14</c:f>
              <c:strCache>
                <c:ptCount val="6"/>
                <c:pt idx="0">
                  <c:v>Mature / Adults (18+) [TV-MA, R, NC-17]</c:v>
                </c:pt>
                <c:pt idx="1">
                  <c:v>Teens &amp; Young Adults (13–17) [TV-14, PG-13]</c:v>
                </c:pt>
                <c:pt idx="2">
                  <c:v>Older Kids &amp; Family (Parental Guidance) [TV-PG, PG]</c:v>
                </c:pt>
                <c:pt idx="3">
                  <c:v>Young Children &amp; All Ages [TV-Y, TV-G, G]</c:v>
                </c:pt>
                <c:pt idx="4">
                  <c:v>Kids (Age 7+) [TV-Y7, TV-Y7-FV]</c:v>
                </c:pt>
                <c:pt idx="5">
                  <c:v>Unrated / Not Rated [NR, UR]</c:v>
                </c:pt>
              </c:strCache>
            </c:strRef>
          </c:cat>
          <c:val>
            <c:numRef>
              <c:f>Task3_Audience!$B$9:$B$14</c:f>
              <c:numCache>
                <c:formatCode>General</c:formatCode>
                <c:ptCount val="6"/>
                <c:pt idx="0">
                  <c:v>2862</c:v>
                </c:pt>
                <c:pt idx="1">
                  <c:v>1917</c:v>
                </c:pt>
                <c:pt idx="2">
                  <c:v>827</c:v>
                </c:pt>
                <c:pt idx="3">
                  <c:v>298</c:v>
                </c:pt>
                <c:pt idx="4">
                  <c:v>144</c:v>
                </c:pt>
                <c:pt idx="5">
                  <c:v>78</c:v>
                </c:pt>
              </c:numCache>
            </c:numRef>
          </c:val>
        </c:ser>
        <c:ser>
          <c:idx val="1"/>
          <c:order val="1"/>
          <c:tx>
            <c:strRef>
              <c:f>Task3_Audience!C8</c:f>
              <c:strCache>
                <c:ptCount val="1"/>
                <c:pt idx="0">
                  <c:v>TV Shows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Task3_Audience!$A$9:$A$14</c:f>
              <c:strCache>
                <c:ptCount val="6"/>
                <c:pt idx="0">
                  <c:v>Mature / Adults (18+) [TV-MA, R, NC-17]</c:v>
                </c:pt>
                <c:pt idx="1">
                  <c:v>Teens &amp; Young Adults (13–17) [TV-14, PG-13]</c:v>
                </c:pt>
                <c:pt idx="2">
                  <c:v>Older Kids &amp; Family (Parental Guidance) [TV-PG, PG]</c:v>
                </c:pt>
                <c:pt idx="3">
                  <c:v>Young Children &amp; All Ages [TV-Y, TV-G, G]</c:v>
                </c:pt>
                <c:pt idx="4">
                  <c:v>Kids (Age 7+) [TV-Y7, TV-Y7-FV]</c:v>
                </c:pt>
                <c:pt idx="5">
                  <c:v>Unrated / Not Rated [NR, UR]</c:v>
                </c:pt>
              </c:strCache>
            </c:strRef>
          </c:cat>
          <c:val>
            <c:numRef>
              <c:f>Task3_Audience!$C$9:$C$14</c:f>
              <c:numCache>
                <c:formatCode>General</c:formatCode>
                <c:ptCount val="6"/>
                <c:pt idx="0">
                  <c:v>1145</c:v>
                </c:pt>
                <c:pt idx="1">
                  <c:v>730</c:v>
                </c:pt>
                <c:pt idx="2">
                  <c:v>321</c:v>
                </c:pt>
                <c:pt idx="3">
                  <c:v>269</c:v>
                </c:pt>
                <c:pt idx="4">
                  <c:v>195</c:v>
                </c:pt>
                <c:pt idx="5">
                  <c:v>4</c:v>
                </c:pt>
              </c:numCache>
            </c:numRef>
          </c:val>
        </c:ser>
        <c:gapWidth val="150"/>
        <c:overlap val="0"/>
        <c:axId val="17931306"/>
        <c:axId val="57348925"/>
      </c:barChart>
      <c:catAx>
        <c:axId val="179313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Audience 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48925"/>
        <c:crosses val="autoZero"/>
        <c:auto val="1"/>
        <c:lblAlgn val="ctr"/>
        <c:lblOffset val="100"/>
        <c:noMultiLvlLbl val="0"/>
      </c:catAx>
      <c:valAx>
        <c:axId val="573489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313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Content Additions on Netflix (2008–2021)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Task4_Growth_Trends!B8</c:f>
              <c:strCache>
                <c:ptCount val="1"/>
                <c:pt idx="0">
                  <c:v>Movies Added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Task4_Growth_Trends!$A$9:$A$22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Task4_Growth_Trends!$B$9:$B$22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  <c:pt idx="5">
                  <c:v>6</c:v>
                </c:pt>
                <c:pt idx="6">
                  <c:v>19</c:v>
                </c:pt>
                <c:pt idx="7">
                  <c:v>56</c:v>
                </c:pt>
                <c:pt idx="8">
                  <c:v>251</c:v>
                </c:pt>
                <c:pt idx="9">
                  <c:v>836</c:v>
                </c:pt>
                <c:pt idx="10">
                  <c:v>1237</c:v>
                </c:pt>
                <c:pt idx="11">
                  <c:v>1424</c:v>
                </c:pt>
                <c:pt idx="12">
                  <c:v>1284</c:v>
                </c:pt>
                <c:pt idx="13">
                  <c:v>993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Task4_Growth_Trends!C8</c:f>
              <c:strCache>
                <c:ptCount val="1"/>
                <c:pt idx="0">
                  <c:v>TV Shows Added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Task4_Growth_Trends!$A$9:$A$22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Task4_Growth_Trends!$C$9:$C$22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26</c:v>
                </c:pt>
                <c:pt idx="8">
                  <c:v>175</c:v>
                </c:pt>
                <c:pt idx="9">
                  <c:v>349</c:v>
                </c:pt>
                <c:pt idx="10">
                  <c:v>411</c:v>
                </c:pt>
                <c:pt idx="11">
                  <c:v>592</c:v>
                </c:pt>
                <c:pt idx="12">
                  <c:v>595</c:v>
                </c:pt>
                <c:pt idx="13">
                  <c:v>505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Task4_Growth_Trends!D8</c:f>
              <c:strCache>
                <c:ptCount val="1"/>
                <c:pt idx="0">
                  <c:v>Total Added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Task4_Growth_Trends!$A$9:$A$22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Task4_Growth_Trends!$D$9:$D$22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  <c:pt idx="5">
                  <c:v>11</c:v>
                </c:pt>
                <c:pt idx="6">
                  <c:v>24</c:v>
                </c:pt>
                <c:pt idx="7">
                  <c:v>82</c:v>
                </c:pt>
                <c:pt idx="8">
                  <c:v>426</c:v>
                </c:pt>
                <c:pt idx="9">
                  <c:v>1185</c:v>
                </c:pt>
                <c:pt idx="10">
                  <c:v>1648</c:v>
                </c:pt>
                <c:pt idx="11">
                  <c:v>2016</c:v>
                </c:pt>
                <c:pt idx="12">
                  <c:v>1879</c:v>
                </c:pt>
                <c:pt idx="13">
                  <c:v>1498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15774"/>
        <c:axId val="29454272"/>
      </c:lineChart>
      <c:catAx>
        <c:axId val="11157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 Added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54272"/>
        <c:crosses val="autoZero"/>
        <c:auto val="1"/>
        <c:lblAlgn val="ctr"/>
        <c:lblOffset val="100"/>
        <c:noMultiLvlLbl val="0"/>
      </c:catAx>
      <c:valAx>
        <c:axId val="29454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Titles Added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57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Content Categories by Total Title Mentions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Task5_Categories!F8</c:f>
              <c:strCache>
                <c:ptCount val="1"/>
                <c:pt idx="0">
                  <c:v>Total Mentions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Task5_Categories!$B$9:$B$23</c:f>
              <c:strCache>
                <c:ptCount val="15"/>
                <c:pt idx="0">
                  <c:v>International Movies</c:v>
                </c:pt>
                <c:pt idx="1">
                  <c:v>Dramas</c:v>
                </c:pt>
                <c:pt idx="2">
                  <c:v>Comedies</c:v>
                </c:pt>
                <c:pt idx="3">
                  <c:v>International TV Shows</c:v>
                </c:pt>
                <c:pt idx="4">
                  <c:v>Documentaries</c:v>
                </c:pt>
                <c:pt idx="5">
                  <c:v>Action &amp; Adventure</c:v>
                </c:pt>
                <c:pt idx="6">
                  <c:v>TV Dramas</c:v>
                </c:pt>
                <c:pt idx="7">
                  <c:v>Independent Movies</c:v>
                </c:pt>
                <c:pt idx="8">
                  <c:v>Children &amp; Family Movies</c:v>
                </c:pt>
                <c:pt idx="9">
                  <c:v>Romantic Movies</c:v>
                </c:pt>
                <c:pt idx="10">
                  <c:v>Thrillers</c:v>
                </c:pt>
                <c:pt idx="11">
                  <c:v>TV Comedies</c:v>
                </c:pt>
                <c:pt idx="12">
                  <c:v>Crime TV Shows</c:v>
                </c:pt>
                <c:pt idx="13">
                  <c:v>Kids' TV</c:v>
                </c:pt>
                <c:pt idx="14">
                  <c:v>Docuseries</c:v>
                </c:pt>
              </c:strCache>
            </c:strRef>
          </c:cat>
          <c:val>
            <c:numRef>
              <c:f>Task5_Categories!$F$9:$F$23</c:f>
              <c:numCache>
                <c:formatCode>General</c:formatCode>
                <c:ptCount val="15"/>
                <c:pt idx="0">
                  <c:v>2752</c:v>
                </c:pt>
                <c:pt idx="1">
                  <c:v>2426</c:v>
                </c:pt>
                <c:pt idx="2">
                  <c:v>1674</c:v>
                </c:pt>
                <c:pt idx="3">
                  <c:v>1349</c:v>
                </c:pt>
                <c:pt idx="4">
                  <c:v>869</c:v>
                </c:pt>
                <c:pt idx="5">
                  <c:v>859</c:v>
                </c:pt>
                <c:pt idx="6">
                  <c:v>762</c:v>
                </c:pt>
                <c:pt idx="7">
                  <c:v>756</c:v>
                </c:pt>
                <c:pt idx="8">
                  <c:v>641</c:v>
                </c:pt>
                <c:pt idx="9">
                  <c:v>616</c:v>
                </c:pt>
                <c:pt idx="10">
                  <c:v>577</c:v>
                </c:pt>
                <c:pt idx="11">
                  <c:v>573</c:v>
                </c:pt>
                <c:pt idx="12">
                  <c:v>469</c:v>
                </c:pt>
                <c:pt idx="13">
                  <c:v>448</c:v>
                </c:pt>
                <c:pt idx="14">
                  <c:v>394</c:v>
                </c:pt>
              </c:numCache>
            </c:numRef>
          </c:val>
        </c:ser>
        <c:gapWidth val="150"/>
        <c:overlap val="0"/>
        <c:axId val="80486986"/>
        <c:axId val="78295766"/>
      </c:barChart>
      <c:catAx>
        <c:axId val="8048698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Title Mentions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95766"/>
        <c:crosses val="autoZero"/>
        <c:auto val="1"/>
        <c:lblAlgn val="ctr"/>
        <c:lblOffset val="100"/>
        <c:noMultiLvlLbl val="0"/>
      </c:catAx>
      <c:valAx>
        <c:axId val="78295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869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17</xdr:row>
      <xdr:rowOff>0</xdr:rowOff>
    </xdr:from>
    <xdr:to>
      <xdr:col>14</xdr:col>
      <xdr:colOff>307440</xdr:colOff>
      <xdr:row>32</xdr:row>
      <xdr:rowOff>84960</xdr:rowOff>
    </xdr:to>
    <xdr:graphicFrame>
      <xdr:nvGraphicFramePr>
        <xdr:cNvPr id="0" name="Chart 1"/>
        <xdr:cNvGraphicFramePr/>
      </xdr:nvGraphicFramePr>
      <xdr:xfrm>
        <a:off x="16422840" y="45054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0</xdr:rowOff>
    </xdr:from>
    <xdr:to>
      <xdr:col>11</xdr:col>
      <xdr:colOff>810360</xdr:colOff>
      <xdr:row>20</xdr:row>
      <xdr:rowOff>183240</xdr:rowOff>
    </xdr:to>
    <xdr:graphicFrame>
      <xdr:nvGraphicFramePr>
        <xdr:cNvPr id="1" name="Chart 1"/>
        <xdr:cNvGraphicFramePr/>
      </xdr:nvGraphicFramePr>
      <xdr:xfrm>
        <a:off x="11136600" y="171468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0</xdr:rowOff>
    </xdr:from>
    <xdr:to>
      <xdr:col>11</xdr:col>
      <xdr:colOff>810360</xdr:colOff>
      <xdr:row>39</xdr:row>
      <xdr:rowOff>49680</xdr:rowOff>
    </xdr:to>
    <xdr:graphicFrame>
      <xdr:nvGraphicFramePr>
        <xdr:cNvPr id="2" name="Chart 2"/>
        <xdr:cNvGraphicFramePr/>
      </xdr:nvGraphicFramePr>
      <xdr:xfrm>
        <a:off x="11136600" y="554364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7</xdr:row>
      <xdr:rowOff>0</xdr:rowOff>
    </xdr:from>
    <xdr:to>
      <xdr:col>14</xdr:col>
      <xdr:colOff>559080</xdr:colOff>
      <xdr:row>25</xdr:row>
      <xdr:rowOff>81360</xdr:rowOff>
    </xdr:to>
    <xdr:graphicFrame>
      <xdr:nvGraphicFramePr>
        <xdr:cNvPr id="3" name="Chart 1"/>
        <xdr:cNvGraphicFramePr/>
      </xdr:nvGraphicFramePr>
      <xdr:xfrm>
        <a:off x="10854720" y="1714680"/>
        <a:ext cx="53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7</xdr:row>
      <xdr:rowOff>0</xdr:rowOff>
    </xdr:from>
    <xdr:to>
      <xdr:col>14</xdr:col>
      <xdr:colOff>559080</xdr:colOff>
      <xdr:row>24</xdr:row>
      <xdr:rowOff>54720</xdr:rowOff>
    </xdr:to>
    <xdr:graphicFrame>
      <xdr:nvGraphicFramePr>
        <xdr:cNvPr id="4" name="Chart 1"/>
        <xdr:cNvGraphicFramePr/>
      </xdr:nvGraphicFramePr>
      <xdr:xfrm>
        <a:off x="12475800" y="171468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7</xdr:row>
      <xdr:rowOff>0</xdr:rowOff>
    </xdr:from>
    <xdr:to>
      <xdr:col>14</xdr:col>
      <xdr:colOff>324720</xdr:colOff>
      <xdr:row>22</xdr:row>
      <xdr:rowOff>75600</xdr:rowOff>
    </xdr:to>
    <xdr:graphicFrame>
      <xdr:nvGraphicFramePr>
        <xdr:cNvPr id="5" name="Chart 1"/>
        <xdr:cNvGraphicFramePr/>
      </xdr:nvGraphicFramePr>
      <xdr:xfrm>
        <a:off x="10361160" y="17146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7</xdr:row>
      <xdr:rowOff>0</xdr:rowOff>
    </xdr:from>
    <xdr:to>
      <xdr:col>16</xdr:col>
      <xdr:colOff>181800</xdr:colOff>
      <xdr:row>27</xdr:row>
      <xdr:rowOff>145800</xdr:rowOff>
    </xdr:to>
    <xdr:graphicFrame>
      <xdr:nvGraphicFramePr>
        <xdr:cNvPr id="6" name="Chart 1"/>
        <xdr:cNvGraphicFramePr/>
      </xdr:nvGraphicFramePr>
      <xdr:xfrm>
        <a:off x="13251240" y="1714680"/>
        <a:ext cx="53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8"/>
    <col collapsed="false" customWidth="true" hidden="false" outlineLevel="0" max="3" min="3" style="0" width="18"/>
    <col collapsed="false" customWidth="true" hidden="false" outlineLevel="0" max="4" min="4" style="0" width="37"/>
    <col collapsed="false" customWidth="true" hidden="false" outlineLevel="0" max="5" min="5" style="0" width="42"/>
    <col collapsed="false" customWidth="true" hidden="false" outlineLevel="0" max="6" min="6" style="0" width="48"/>
    <col collapsed="false" customWidth="true" hidden="false" outlineLevel="0" max="12" min="7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</row>
    <row r="5" customFormat="false" ht="25.5" hidden="false" customHeight="true" outlineLevel="0" collapsed="false">
      <c r="A5" s="4" t="n">
        <f aca="false">Task1_Portfolio!B11</f>
        <v>8790</v>
      </c>
      <c r="B5" s="4"/>
      <c r="C5" s="5" t="n">
        <f aca="false">Task1_Portfolio!C9</f>
        <v>0.696928327645051</v>
      </c>
      <c r="D5" s="5"/>
      <c r="E5" s="5" t="n">
        <f aca="false">Task1_Portfolio!C10</f>
        <v>0.303071672354949</v>
      </c>
      <c r="F5" s="5"/>
      <c r="G5" s="4" t="n">
        <v>85</v>
      </c>
      <c r="H5" s="4"/>
      <c r="I5" s="5" t="n">
        <f aca="false">Task3_Audience!D9</f>
        <v>4007</v>
      </c>
      <c r="J5" s="5"/>
      <c r="K5" s="4" t="n">
        <f aca="false">Task4_Growth_Trends!D19</f>
        <v>1648</v>
      </c>
      <c r="L5" s="4"/>
    </row>
    <row r="6" customFormat="false" ht="15.75" hidden="false" customHeight="true" outlineLevel="0" collapsed="false">
      <c r="A6" s="6" t="s">
        <v>8</v>
      </c>
      <c r="B6" s="6"/>
      <c r="C6" s="6" t="s">
        <v>9</v>
      </c>
      <c r="D6" s="6"/>
      <c r="E6" s="6" t="s">
        <v>10</v>
      </c>
      <c r="F6" s="6"/>
      <c r="G6" s="6" t="s">
        <v>11</v>
      </c>
      <c r="H6" s="6"/>
      <c r="I6" s="6" t="s">
        <v>12</v>
      </c>
      <c r="J6" s="6"/>
      <c r="K6" s="6" t="s">
        <v>13</v>
      </c>
      <c r="L6" s="6"/>
    </row>
    <row r="8" customFormat="false" ht="21.75" hidden="false" customHeight="true" outlineLevel="0" collapsed="false">
      <c r="A8" s="7" t="s">
        <v>14</v>
      </c>
    </row>
    <row r="9" customFormat="false" ht="24" hidden="false" customHeight="true" outlineLevel="0" collapsed="false">
      <c r="A9" s="8" t="s">
        <v>15</v>
      </c>
      <c r="B9" s="9" t="s">
        <v>16</v>
      </c>
      <c r="C9" s="8" t="s">
        <v>17</v>
      </c>
      <c r="D9" s="9" t="s">
        <v>18</v>
      </c>
      <c r="E9" s="9" t="s">
        <v>19</v>
      </c>
      <c r="F9" s="9" t="s">
        <v>20</v>
      </c>
    </row>
    <row r="10" customFormat="false" ht="24" hidden="false" customHeight="true" outlineLevel="0" collapsed="false">
      <c r="A10" s="10" t="s">
        <v>21</v>
      </c>
      <c r="B10" s="11" t="s">
        <v>22</v>
      </c>
      <c r="C10" s="12" t="s">
        <v>23</v>
      </c>
      <c r="D10" s="13" t="s">
        <v>24</v>
      </c>
      <c r="E10" s="13" t="s">
        <v>25</v>
      </c>
      <c r="F10" s="13" t="s">
        <v>26</v>
      </c>
    </row>
    <row r="11" customFormat="false" ht="24" hidden="false" customHeight="true" outlineLevel="0" collapsed="false">
      <c r="A11" s="14" t="s">
        <v>27</v>
      </c>
      <c r="B11" s="15" t="s">
        <v>28</v>
      </c>
      <c r="C11" s="16" t="s">
        <v>23</v>
      </c>
      <c r="D11" s="17" t="s">
        <v>29</v>
      </c>
      <c r="E11" s="17" t="s">
        <v>30</v>
      </c>
      <c r="F11" s="17" t="s">
        <v>31</v>
      </c>
    </row>
    <row r="12" customFormat="false" ht="24" hidden="false" customHeight="true" outlineLevel="0" collapsed="false">
      <c r="A12" s="10" t="s">
        <v>32</v>
      </c>
      <c r="B12" s="11" t="s">
        <v>33</v>
      </c>
      <c r="C12" s="12" t="s">
        <v>34</v>
      </c>
      <c r="D12" s="13" t="s">
        <v>35</v>
      </c>
      <c r="E12" s="13" t="s">
        <v>36</v>
      </c>
      <c r="F12" s="13" t="s">
        <v>37</v>
      </c>
    </row>
    <row r="13" customFormat="false" ht="24" hidden="false" customHeight="true" outlineLevel="0" collapsed="false">
      <c r="A13" s="14" t="s">
        <v>38</v>
      </c>
      <c r="B13" s="15" t="s">
        <v>39</v>
      </c>
      <c r="C13" s="16" t="s">
        <v>34</v>
      </c>
      <c r="D13" s="17" t="s">
        <v>40</v>
      </c>
      <c r="E13" s="17" t="s">
        <v>41</v>
      </c>
      <c r="F13" s="17" t="s">
        <v>42</v>
      </c>
    </row>
    <row r="14" customFormat="false" ht="24" hidden="false" customHeight="true" outlineLevel="0" collapsed="false">
      <c r="A14" s="10" t="s">
        <v>43</v>
      </c>
      <c r="B14" s="11" t="s">
        <v>44</v>
      </c>
      <c r="C14" s="12" t="s">
        <v>45</v>
      </c>
      <c r="D14" s="13" t="s">
        <v>46</v>
      </c>
      <c r="E14" s="13" t="s">
        <v>47</v>
      </c>
      <c r="F14" s="13" t="s">
        <v>48</v>
      </c>
    </row>
    <row r="15" customFormat="false" ht="24" hidden="false" customHeight="true" outlineLevel="0" collapsed="false">
      <c r="A15" s="14" t="s">
        <v>49</v>
      </c>
      <c r="B15" s="15" t="s">
        <v>50</v>
      </c>
      <c r="C15" s="16" t="s">
        <v>45</v>
      </c>
      <c r="D15" s="17" t="s">
        <v>51</v>
      </c>
      <c r="E15" s="17" t="s">
        <v>52</v>
      </c>
      <c r="F15" s="17" t="s">
        <v>53</v>
      </c>
    </row>
    <row r="18" customFormat="false" ht="21.75" hidden="false" customHeight="true" outlineLevel="0" collapsed="false">
      <c r="A18" s="7" t="s">
        <v>54</v>
      </c>
    </row>
    <row r="19" customFormat="false" ht="21.75" hidden="false" customHeight="true" outlineLevel="0" collapsed="false">
      <c r="A19" s="9" t="s">
        <v>55</v>
      </c>
      <c r="B19" s="18" t="s">
        <v>56</v>
      </c>
      <c r="C19" s="18" t="s">
        <v>57</v>
      </c>
      <c r="D19" s="18" t="s">
        <v>58</v>
      </c>
      <c r="E19" s="18" t="s">
        <v>59</v>
      </c>
      <c r="F19" s="18" t="s">
        <v>60</v>
      </c>
    </row>
    <row r="20" customFormat="false" ht="19.5" hidden="false" customHeight="true" outlineLevel="0" collapsed="false">
      <c r="A20" s="13" t="s">
        <v>61</v>
      </c>
      <c r="B20" s="19" t="n">
        <v>2582</v>
      </c>
      <c r="C20" s="19" t="n">
        <v>929</v>
      </c>
      <c r="D20" s="19" t="n">
        <f aca="false">B20+C20</f>
        <v>3511</v>
      </c>
      <c r="E20" s="20" t="n">
        <f aca="false">D20/$D$27</f>
        <v>0.399431171786121</v>
      </c>
      <c r="F20" s="20" t="n">
        <f aca="false">C20/D20</f>
        <v>0.264596980917118</v>
      </c>
    </row>
    <row r="21" customFormat="false" ht="19.5" hidden="false" customHeight="true" outlineLevel="0" collapsed="false">
      <c r="A21" s="17" t="s">
        <v>62</v>
      </c>
      <c r="B21" s="21" t="n">
        <v>1648</v>
      </c>
      <c r="C21" s="21" t="n">
        <v>992</v>
      </c>
      <c r="D21" s="21" t="n">
        <f aca="false">B21+C21</f>
        <v>2640</v>
      </c>
      <c r="E21" s="22" t="n">
        <f aca="false">D21/$D$27</f>
        <v>0.300341296928328</v>
      </c>
      <c r="F21" s="22" t="n">
        <f aca="false">C21/D21</f>
        <v>0.375757575757576</v>
      </c>
    </row>
    <row r="22" customFormat="false" ht="19.5" hidden="false" customHeight="true" outlineLevel="0" collapsed="false">
      <c r="A22" s="13" t="s">
        <v>63</v>
      </c>
      <c r="B22" s="19" t="n">
        <v>983</v>
      </c>
      <c r="C22" s="19" t="n">
        <v>504</v>
      </c>
      <c r="D22" s="19" t="n">
        <f aca="false">B22+C22</f>
        <v>1487</v>
      </c>
      <c r="E22" s="20" t="n">
        <f aca="false">D22/$D$27</f>
        <v>0.169169510807736</v>
      </c>
      <c r="F22" s="20" t="n">
        <f aca="false">C22/D22</f>
        <v>0.338937457969065</v>
      </c>
    </row>
    <row r="23" customFormat="false" ht="19.5" hidden="false" customHeight="true" outlineLevel="0" collapsed="false">
      <c r="A23" s="17" t="s">
        <v>64</v>
      </c>
      <c r="B23" s="21" t="n">
        <v>241</v>
      </c>
      <c r="C23" s="21" t="n">
        <v>125</v>
      </c>
      <c r="D23" s="21" t="n">
        <f aca="false">B23+C23</f>
        <v>366</v>
      </c>
      <c r="E23" s="22" t="n">
        <f aca="false">D23/$D$27</f>
        <v>0.0416382252559727</v>
      </c>
      <c r="F23" s="22" t="n">
        <f aca="false">C23/D23</f>
        <v>0.341530054644809</v>
      </c>
    </row>
    <row r="24" customFormat="false" ht="19.5" hidden="false" customHeight="true" outlineLevel="0" collapsed="false">
      <c r="A24" s="13" t="s">
        <v>65</v>
      </c>
      <c r="B24" s="19" t="n">
        <v>302</v>
      </c>
      <c r="C24" s="19" t="n">
        <v>54</v>
      </c>
      <c r="D24" s="19" t="n">
        <f aca="false">B24+C24</f>
        <v>356</v>
      </c>
      <c r="E24" s="20" t="n">
        <f aca="false">D24/$D$27</f>
        <v>0.0405005688282139</v>
      </c>
      <c r="F24" s="20" t="n">
        <f aca="false">C24/D24</f>
        <v>0.151685393258427</v>
      </c>
    </row>
    <row r="25" customFormat="false" ht="19.5" hidden="false" customHeight="true" outlineLevel="0" collapsed="false">
      <c r="A25" s="17" t="s">
        <v>66</v>
      </c>
      <c r="B25" s="21" t="n">
        <v>113</v>
      </c>
      <c r="C25" s="21" t="n">
        <v>30</v>
      </c>
      <c r="D25" s="21" t="n">
        <f aca="false">B25+C25</f>
        <v>143</v>
      </c>
      <c r="E25" s="22" t="n">
        <f aca="false">D25/$D$27</f>
        <v>0.0162684869169511</v>
      </c>
      <c r="F25" s="22" t="n">
        <f aca="false">C25/D25</f>
        <v>0.20979020979021</v>
      </c>
    </row>
    <row r="26" customFormat="false" ht="19.5" hidden="false" customHeight="true" outlineLevel="0" collapsed="false">
      <c r="A26" s="13" t="s">
        <v>67</v>
      </c>
      <c r="B26" s="19" t="n">
        <v>257</v>
      </c>
      <c r="C26" s="19" t="n">
        <v>30</v>
      </c>
      <c r="D26" s="19" t="n">
        <f aca="false">B26+C26</f>
        <v>287</v>
      </c>
      <c r="E26" s="20" t="n">
        <f aca="false">D26/$D$27</f>
        <v>0.032650739476678</v>
      </c>
      <c r="F26" s="20" t="n">
        <f aca="false">C26/D26</f>
        <v>0.104529616724739</v>
      </c>
    </row>
    <row r="27" customFormat="false" ht="21.75" hidden="false" customHeight="true" outlineLevel="0" collapsed="false">
      <c r="A27" s="23" t="s">
        <v>68</v>
      </c>
      <c r="B27" s="24" t="n">
        <f aca="false">SUM(B20:B26)</f>
        <v>6126</v>
      </c>
      <c r="C27" s="24" t="n">
        <f aca="false">SUM(C20:C26)</f>
        <v>2664</v>
      </c>
      <c r="D27" s="24" t="n">
        <f aca="false">SUM(D20:D26)</f>
        <v>8790</v>
      </c>
      <c r="E27" s="25" t="n">
        <f aca="false">SUM(E20:E26)</f>
        <v>1</v>
      </c>
      <c r="F27" s="25" t="n">
        <f aca="false">C27/D27</f>
        <v>0.303071672354949</v>
      </c>
    </row>
  </sheetData>
  <mergeCells count="20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7"/>
    <col collapsed="false" customWidth="true" hidden="false" outlineLevel="0" max="3" min="3" style="0" width="25"/>
    <col collapsed="false" customWidth="true" hidden="false" outlineLevel="0" max="4" min="4" style="0" width="35"/>
    <col collapsed="false" customWidth="true" hidden="false" outlineLevel="0" max="5" min="5" style="0" width="31"/>
    <col collapsed="false" customWidth="true" hidden="false" outlineLevel="0" max="12" min="6" style="0" width="12"/>
  </cols>
  <sheetData>
    <row r="1" customFormat="false" ht="27.75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3" t="s">
        <v>71</v>
      </c>
      <c r="B4" s="3"/>
      <c r="C4" s="3"/>
      <c r="D4" s="3" t="s">
        <v>72</v>
      </c>
      <c r="E4" s="3"/>
      <c r="F4" s="3"/>
      <c r="G4" s="3" t="s">
        <v>73</v>
      </c>
      <c r="H4" s="3"/>
      <c r="I4" s="3"/>
      <c r="J4" s="3" t="s">
        <v>74</v>
      </c>
      <c r="K4" s="3"/>
      <c r="L4" s="3"/>
    </row>
    <row r="5" customFormat="false" ht="25.5" hidden="false" customHeight="true" outlineLevel="0" collapsed="false">
      <c r="A5" s="4" t="n">
        <f aca="false">B11</f>
        <v>8790</v>
      </c>
      <c r="B5" s="4"/>
      <c r="C5" s="4"/>
      <c r="D5" s="4" t="n">
        <f aca="false">B9</f>
        <v>6126</v>
      </c>
      <c r="E5" s="4"/>
      <c r="F5" s="4"/>
      <c r="G5" s="4" t="n">
        <f aca="false">B10</f>
        <v>2664</v>
      </c>
      <c r="H5" s="4"/>
      <c r="I5" s="4"/>
      <c r="J5" s="26" t="n">
        <v>98</v>
      </c>
      <c r="K5" s="26"/>
      <c r="L5" s="26"/>
    </row>
    <row r="6" customFormat="false" ht="15.75" hidden="false" customHeight="true" outlineLevel="0" collapsed="false">
      <c r="A6" s="6" t="s">
        <v>75</v>
      </c>
      <c r="B6" s="6"/>
      <c r="C6" s="6"/>
      <c r="D6" s="6" t="s">
        <v>76</v>
      </c>
      <c r="E6" s="6"/>
      <c r="F6" s="6"/>
      <c r="G6" s="6" t="s">
        <v>77</v>
      </c>
      <c r="H6" s="6"/>
      <c r="I6" s="6"/>
      <c r="J6" s="6" t="s">
        <v>78</v>
      </c>
      <c r="K6" s="6"/>
      <c r="L6" s="6"/>
    </row>
    <row r="7" customFormat="false" ht="15" hidden="false" customHeight="false" outlineLevel="0" collapsed="false">
      <c r="A7" s="7" t="s">
        <v>79</v>
      </c>
    </row>
    <row r="8" customFormat="false" ht="15" hidden="false" customHeight="false" outlineLevel="0" collapsed="false">
      <c r="A8" s="9" t="s">
        <v>80</v>
      </c>
      <c r="B8" s="18" t="s">
        <v>81</v>
      </c>
      <c r="C8" s="18" t="s">
        <v>82</v>
      </c>
      <c r="D8" s="9" t="s">
        <v>83</v>
      </c>
      <c r="E8" s="18" t="s">
        <v>84</v>
      </c>
    </row>
    <row r="9" customFormat="false" ht="19.5" hidden="false" customHeight="true" outlineLevel="0" collapsed="false">
      <c r="A9" s="17" t="s">
        <v>85</v>
      </c>
      <c r="B9" s="21" t="n">
        <v>6126</v>
      </c>
      <c r="C9" s="22" t="n">
        <f aca="false">B9/$B$11</f>
        <v>0.696928327645051</v>
      </c>
      <c r="D9" s="17" t="s">
        <v>86</v>
      </c>
      <c r="E9" s="22" t="n">
        <v>0.304</v>
      </c>
    </row>
    <row r="10" customFormat="false" ht="19.5" hidden="false" customHeight="true" outlineLevel="0" collapsed="false">
      <c r="A10" s="13" t="s">
        <v>87</v>
      </c>
      <c r="B10" s="19" t="n">
        <v>2664</v>
      </c>
      <c r="C10" s="20" t="n">
        <f aca="false">B10/$B$11</f>
        <v>0.303071672354949</v>
      </c>
      <c r="D10" s="13" t="s">
        <v>88</v>
      </c>
      <c r="E10" s="20" t="n">
        <v>0.522</v>
      </c>
    </row>
    <row r="11" customFormat="false" ht="15" hidden="false" customHeight="false" outlineLevel="0" collapsed="false">
      <c r="A11" s="23" t="s">
        <v>89</v>
      </c>
      <c r="B11" s="24" t="n">
        <f aca="false">SUM(B9:B10)</f>
        <v>8790</v>
      </c>
      <c r="C11" s="25" t="n">
        <f aca="false">SUM(C9:C10)</f>
        <v>1</v>
      </c>
      <c r="D11" s="23" t="s">
        <v>90</v>
      </c>
      <c r="E11" s="25" t="n">
        <v>0.37</v>
      </c>
    </row>
    <row r="14" customFormat="false" ht="15" hidden="false" customHeight="false" outlineLevel="0" collapsed="false">
      <c r="A14" s="7" t="s">
        <v>91</v>
      </c>
    </row>
    <row r="15" customFormat="false" ht="15" hidden="false" customHeight="false" outlineLevel="0" collapsed="false">
      <c r="A15" s="9" t="s">
        <v>92</v>
      </c>
      <c r="B15" s="18" t="s">
        <v>93</v>
      </c>
      <c r="C15" s="18" t="s">
        <v>94</v>
      </c>
      <c r="D15" s="18" t="s">
        <v>95</v>
      </c>
    </row>
    <row r="16" customFormat="false" ht="19.5" hidden="false" customHeight="true" outlineLevel="0" collapsed="false">
      <c r="A16" s="13" t="s">
        <v>96</v>
      </c>
      <c r="B16" s="19" t="n">
        <v>486</v>
      </c>
      <c r="C16" s="20" t="n">
        <f aca="false">B16/$B$21</f>
        <v>0.079333986287953</v>
      </c>
      <c r="D16" s="20" t="n">
        <f aca="false">B16/$B$11</f>
        <v>0.0552901023890785</v>
      </c>
    </row>
    <row r="17" customFormat="false" ht="19.5" hidden="false" customHeight="true" outlineLevel="0" collapsed="false">
      <c r="A17" s="17" t="s">
        <v>97</v>
      </c>
      <c r="B17" s="21" t="n">
        <v>1503</v>
      </c>
      <c r="C17" s="22" t="n">
        <f aca="false">B17/$B$21</f>
        <v>0.245347698334966</v>
      </c>
      <c r="D17" s="22" t="n">
        <f aca="false">B17/$B$11</f>
        <v>0.17098976109215</v>
      </c>
    </row>
    <row r="18" customFormat="false" ht="19.5" hidden="false" customHeight="true" outlineLevel="0" collapsed="false">
      <c r="A18" s="13" t="s">
        <v>98</v>
      </c>
      <c r="B18" s="19" t="n">
        <v>2995</v>
      </c>
      <c r="C18" s="20" t="n">
        <f aca="false">B18/$B$21</f>
        <v>0.488899771465883</v>
      </c>
      <c r="D18" s="20" t="n">
        <f aca="false">B18/$B$11</f>
        <v>0.340728100113766</v>
      </c>
    </row>
    <row r="19" customFormat="false" ht="19.5" hidden="false" customHeight="true" outlineLevel="0" collapsed="false">
      <c r="A19" s="17" t="s">
        <v>99</v>
      </c>
      <c r="B19" s="21" t="n">
        <v>897</v>
      </c>
      <c r="C19" s="22" t="n">
        <f aca="false">B19/$B$21</f>
        <v>0.146425073457395</v>
      </c>
      <c r="D19" s="22" t="n">
        <f aca="false">B19/$B$11</f>
        <v>0.102047781569966</v>
      </c>
    </row>
    <row r="20" customFormat="false" ht="19.5" hidden="false" customHeight="true" outlineLevel="0" collapsed="false">
      <c r="A20" s="13" t="s">
        <v>100</v>
      </c>
      <c r="B20" s="19" t="n">
        <v>245</v>
      </c>
      <c r="C20" s="20" t="n">
        <f aca="false">B20/$B$21</f>
        <v>0.0399934704538035</v>
      </c>
      <c r="D20" s="20" t="n">
        <f aca="false">B20/$B$11</f>
        <v>0.027872582480091</v>
      </c>
    </row>
    <row r="21" customFormat="false" ht="15" hidden="false" customHeight="false" outlineLevel="0" collapsed="false">
      <c r="A21" s="23" t="s">
        <v>101</v>
      </c>
      <c r="B21" s="24" t="n">
        <f aca="false">SUM(B16:B20)</f>
        <v>6126</v>
      </c>
      <c r="C21" s="25" t="n">
        <f aca="false">SUM(C16:C20)</f>
        <v>1</v>
      </c>
      <c r="D21" s="25" t="n">
        <f aca="false">SUM(D16:D20)</f>
        <v>0.696928327645051</v>
      </c>
    </row>
    <row r="24" customFormat="false" ht="15" hidden="false" customHeight="false" outlineLevel="0" collapsed="false">
      <c r="A24" s="7" t="s">
        <v>102</v>
      </c>
    </row>
    <row r="25" customFormat="false" ht="15" hidden="false" customHeight="false" outlineLevel="0" collapsed="false">
      <c r="A25" s="9" t="s">
        <v>103</v>
      </c>
      <c r="B25" s="18" t="s">
        <v>104</v>
      </c>
      <c r="C25" s="18" t="s">
        <v>105</v>
      </c>
      <c r="D25" s="18" t="s">
        <v>95</v>
      </c>
    </row>
    <row r="26" customFormat="false" ht="19.5" hidden="false" customHeight="true" outlineLevel="0" collapsed="false">
      <c r="A26" s="13" t="s">
        <v>106</v>
      </c>
      <c r="B26" s="19" t="n">
        <v>1791</v>
      </c>
      <c r="C26" s="20" t="n">
        <f aca="false">B26/$B$32</f>
        <v>0.672297297297297</v>
      </c>
      <c r="D26" s="20" t="n">
        <f aca="false">B26/$B$11</f>
        <v>0.203754266211604</v>
      </c>
    </row>
    <row r="27" customFormat="false" ht="19.5" hidden="false" customHeight="true" outlineLevel="0" collapsed="false">
      <c r="A27" s="17" t="s">
        <v>107</v>
      </c>
      <c r="B27" s="21" t="n">
        <v>421</v>
      </c>
      <c r="C27" s="22" t="n">
        <f aca="false">B27/$B$32</f>
        <v>0.158033033033033</v>
      </c>
      <c r="D27" s="22" t="n">
        <f aca="false">B27/$B$11</f>
        <v>0.0478953356086462</v>
      </c>
    </row>
    <row r="28" customFormat="false" ht="19.5" hidden="false" customHeight="true" outlineLevel="0" collapsed="false">
      <c r="A28" s="13" t="s">
        <v>108</v>
      </c>
      <c r="B28" s="19" t="n">
        <v>198</v>
      </c>
      <c r="C28" s="20" t="n">
        <f aca="false">B28/$B$32</f>
        <v>0.0743243243243243</v>
      </c>
      <c r="D28" s="20" t="n">
        <f aca="false">B28/$B$11</f>
        <v>0.0225255972696246</v>
      </c>
    </row>
    <row r="29" customFormat="false" ht="19.5" hidden="false" customHeight="true" outlineLevel="0" collapsed="false">
      <c r="A29" s="17" t="s">
        <v>109</v>
      </c>
      <c r="B29" s="21" t="n">
        <v>94</v>
      </c>
      <c r="C29" s="22" t="n">
        <f aca="false">B29/$B$32</f>
        <v>0.0352852852852853</v>
      </c>
      <c r="D29" s="22" t="n">
        <f aca="false">B29/$B$11</f>
        <v>0.0106939704209329</v>
      </c>
    </row>
    <row r="30" customFormat="false" ht="19.5" hidden="false" customHeight="true" outlineLevel="0" collapsed="false">
      <c r="A30" s="13" t="s">
        <v>110</v>
      </c>
      <c r="B30" s="19" t="n">
        <v>64</v>
      </c>
      <c r="C30" s="20" t="n">
        <f aca="false">B30/$B$32</f>
        <v>0.024024024024024</v>
      </c>
      <c r="D30" s="20" t="n">
        <f aca="false">B30/$B$11</f>
        <v>0.00728100113765643</v>
      </c>
    </row>
    <row r="31" customFormat="false" ht="19.5" hidden="false" customHeight="true" outlineLevel="0" collapsed="false">
      <c r="A31" s="17" t="s">
        <v>111</v>
      </c>
      <c r="B31" s="21" t="n">
        <v>96</v>
      </c>
      <c r="C31" s="22" t="n">
        <f aca="false">B31/$B$32</f>
        <v>0.036036036036036</v>
      </c>
      <c r="D31" s="22" t="n">
        <f aca="false">B31/$B$11</f>
        <v>0.0109215017064846</v>
      </c>
    </row>
    <row r="32" customFormat="false" ht="15" hidden="false" customHeight="false" outlineLevel="0" collapsed="false">
      <c r="A32" s="23" t="s">
        <v>112</v>
      </c>
      <c r="B32" s="24" t="n">
        <f aca="false">SUM(B26:B31)</f>
        <v>2664</v>
      </c>
      <c r="C32" s="25" t="n">
        <f aca="false">SUM(C26:C31)</f>
        <v>1</v>
      </c>
      <c r="D32" s="25" t="n">
        <f aca="false">SUM(D26:D31)</f>
        <v>0.303071672354949</v>
      </c>
    </row>
  </sheetData>
  <mergeCells count="14">
    <mergeCell ref="A1:L1"/>
    <mergeCell ref="A2:L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9"/>
    <col collapsed="false" customWidth="true" hidden="false" outlineLevel="0" max="7" min="7" style="0" width="21"/>
    <col collapsed="false" customWidth="true" hidden="false" outlineLevel="0" max="13" min="8" style="0" width="12"/>
  </cols>
  <sheetData>
    <row r="1" customFormat="false" ht="27.7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8" hidden="false" customHeight="true" outlineLevel="0" collapsed="false">
      <c r="A4" s="3" t="s">
        <v>115</v>
      </c>
      <c r="B4" s="3"/>
      <c r="C4" s="3"/>
      <c r="D4" s="3" t="s">
        <v>116</v>
      </c>
      <c r="E4" s="3"/>
      <c r="F4" s="3"/>
      <c r="G4" s="3" t="s">
        <v>117</v>
      </c>
      <c r="H4" s="3"/>
      <c r="I4" s="3"/>
      <c r="J4" s="3" t="s">
        <v>118</v>
      </c>
      <c r="K4" s="3"/>
      <c r="L4" s="3"/>
      <c r="M4" s="3"/>
    </row>
    <row r="5" customFormat="false" ht="25.5" hidden="false" customHeight="true" outlineLevel="0" collapsed="false">
      <c r="A5" s="4" t="n">
        <f aca="false">D9</f>
        <v>3240</v>
      </c>
      <c r="B5" s="4"/>
      <c r="C5" s="4"/>
      <c r="D5" s="4" t="n">
        <f aca="false">D10</f>
        <v>1057</v>
      </c>
      <c r="E5" s="4"/>
      <c r="F5" s="4"/>
      <c r="G5" s="4" t="n">
        <f aca="false">D11</f>
        <v>638</v>
      </c>
      <c r="H5" s="4"/>
      <c r="I5" s="4"/>
      <c r="J5" s="5" t="n">
        <f aca="false">SUM(E9:E18)</f>
        <v>0.77155858930603</v>
      </c>
      <c r="K5" s="5"/>
      <c r="L5" s="5"/>
      <c r="M5" s="5"/>
    </row>
    <row r="6" customFormat="false" ht="15.75" hidden="false" customHeight="true" outlineLevel="0" collapsed="false">
      <c r="A6" s="6" t="s">
        <v>119</v>
      </c>
      <c r="B6" s="6"/>
      <c r="C6" s="6"/>
      <c r="D6" s="6" t="s">
        <v>120</v>
      </c>
      <c r="E6" s="6"/>
      <c r="F6" s="6"/>
      <c r="G6" s="6" t="s">
        <v>121</v>
      </c>
      <c r="H6" s="6"/>
      <c r="I6" s="6"/>
      <c r="J6" s="6" t="s">
        <v>122</v>
      </c>
      <c r="K6" s="6"/>
      <c r="L6" s="6"/>
      <c r="M6" s="6"/>
    </row>
    <row r="7" customFormat="false" ht="15" hidden="false" customHeight="false" outlineLevel="0" collapsed="false">
      <c r="A7" s="7" t="s">
        <v>123</v>
      </c>
    </row>
    <row r="8" customFormat="false" ht="15" hidden="false" customHeight="false" outlineLevel="0" collapsed="false">
      <c r="A8" s="9" t="s">
        <v>124</v>
      </c>
      <c r="B8" s="18" t="s">
        <v>125</v>
      </c>
      <c r="C8" s="18" t="s">
        <v>126</v>
      </c>
      <c r="D8" s="18" t="s">
        <v>58</v>
      </c>
      <c r="E8" s="18" t="s">
        <v>127</v>
      </c>
      <c r="F8" s="18" t="s">
        <v>128</v>
      </c>
      <c r="G8" s="18" t="s">
        <v>60</v>
      </c>
    </row>
    <row r="9" customFormat="false" ht="18.75" hidden="false" customHeight="true" outlineLevel="0" collapsed="false">
      <c r="A9" s="17" t="s">
        <v>129</v>
      </c>
      <c r="B9" s="21" t="n">
        <v>2395</v>
      </c>
      <c r="C9" s="21" t="n">
        <v>845</v>
      </c>
      <c r="D9" s="21" t="n">
        <f aca="false">B9+C9</f>
        <v>3240</v>
      </c>
      <c r="E9" s="22" t="n">
        <f aca="false">D9/$D$30</f>
        <v>0.368600682593857</v>
      </c>
      <c r="F9" s="22" t="n">
        <f aca="false">B9/D9</f>
        <v>0.739197530864198</v>
      </c>
      <c r="G9" s="22" t="n">
        <f aca="false">C9/D9</f>
        <v>0.260802469135802</v>
      </c>
    </row>
    <row r="10" customFormat="false" ht="18.75" hidden="false" customHeight="true" outlineLevel="0" collapsed="false">
      <c r="A10" s="13" t="s">
        <v>130</v>
      </c>
      <c r="B10" s="19" t="n">
        <v>976</v>
      </c>
      <c r="C10" s="19" t="n">
        <v>81</v>
      </c>
      <c r="D10" s="19" t="n">
        <f aca="false">B10+C10</f>
        <v>1057</v>
      </c>
      <c r="E10" s="20" t="n">
        <f aca="false">D10/$D$30</f>
        <v>0.120250284414107</v>
      </c>
      <c r="F10" s="20" t="n">
        <f aca="false">B10/D10</f>
        <v>0.923368022705771</v>
      </c>
      <c r="G10" s="20" t="n">
        <f aca="false">C10/D10</f>
        <v>0.076631977294229</v>
      </c>
    </row>
    <row r="11" customFormat="false" ht="18.75" hidden="false" customHeight="true" outlineLevel="0" collapsed="false">
      <c r="A11" s="17" t="s">
        <v>131</v>
      </c>
      <c r="B11" s="21" t="n">
        <v>387</v>
      </c>
      <c r="C11" s="21" t="n">
        <v>251</v>
      </c>
      <c r="D11" s="21" t="n">
        <f aca="false">B11+C11</f>
        <v>638</v>
      </c>
      <c r="E11" s="22" t="n">
        <f aca="false">D11/$D$30</f>
        <v>0.0725824800910125</v>
      </c>
      <c r="F11" s="22" t="n">
        <f aca="false">B11/D11</f>
        <v>0.606583072100314</v>
      </c>
      <c r="G11" s="22" t="n">
        <f aca="false">C11/D11</f>
        <v>0.393416927899687</v>
      </c>
    </row>
    <row r="12" customFormat="false" ht="18.75" hidden="false" customHeight="true" outlineLevel="0" collapsed="false">
      <c r="A12" s="13" t="s">
        <v>132</v>
      </c>
      <c r="B12" s="19" t="n">
        <v>71</v>
      </c>
      <c r="C12" s="19" t="n">
        <v>350</v>
      </c>
      <c r="D12" s="19" t="n">
        <f aca="false">B12+C12</f>
        <v>421</v>
      </c>
      <c r="E12" s="20" t="n">
        <f aca="false">D12/$D$30</f>
        <v>0.0478953356086462</v>
      </c>
      <c r="F12" s="20" t="n">
        <f aca="false">B12/D12</f>
        <v>0.168646080760095</v>
      </c>
      <c r="G12" s="20" t="n">
        <f aca="false">C12/D12</f>
        <v>0.831353919239905</v>
      </c>
    </row>
    <row r="13" customFormat="false" ht="18.75" hidden="false" customHeight="true" outlineLevel="0" collapsed="false">
      <c r="A13" s="17" t="s">
        <v>133</v>
      </c>
      <c r="B13" s="21" t="n">
        <v>257</v>
      </c>
      <c r="C13" s="21" t="n">
        <v>30</v>
      </c>
      <c r="D13" s="21" t="n">
        <f aca="false">B13+C13</f>
        <v>287</v>
      </c>
      <c r="E13" s="22" t="n">
        <f aca="false">D13/$D$30</f>
        <v>0.032650739476678</v>
      </c>
      <c r="F13" s="22" t="n">
        <f aca="false">B13/D13</f>
        <v>0.895470383275261</v>
      </c>
      <c r="G13" s="22" t="n">
        <f aca="false">C13/D13</f>
        <v>0.104529616724739</v>
      </c>
    </row>
    <row r="14" customFormat="false" ht="18.75" hidden="false" customHeight="true" outlineLevel="0" collapsed="false">
      <c r="A14" s="13" t="s">
        <v>134</v>
      </c>
      <c r="B14" s="19" t="n">
        <v>187</v>
      </c>
      <c r="C14" s="19" t="n">
        <v>84</v>
      </c>
      <c r="D14" s="19" t="n">
        <f aca="false">B14+C14</f>
        <v>271</v>
      </c>
      <c r="E14" s="20" t="n">
        <f aca="false">D14/$D$30</f>
        <v>0.0308304891922639</v>
      </c>
      <c r="F14" s="20" t="n">
        <f aca="false">B14/D14</f>
        <v>0.690036900369004</v>
      </c>
      <c r="G14" s="20" t="n">
        <f aca="false">C14/D14</f>
        <v>0.309963099630996</v>
      </c>
    </row>
    <row r="15" customFormat="false" ht="18.75" hidden="false" customHeight="true" outlineLevel="0" collapsed="false">
      <c r="A15" s="17" t="s">
        <v>135</v>
      </c>
      <c r="B15" s="21" t="n">
        <v>87</v>
      </c>
      <c r="C15" s="21" t="n">
        <v>172</v>
      </c>
      <c r="D15" s="21" t="n">
        <f aca="false">B15+C15</f>
        <v>259</v>
      </c>
      <c r="E15" s="22" t="n">
        <f aca="false">D15/$D$30</f>
        <v>0.0294653014789534</v>
      </c>
      <c r="F15" s="22" t="n">
        <f aca="false">B15/D15</f>
        <v>0.335907335907336</v>
      </c>
      <c r="G15" s="22" t="n">
        <f aca="false">C15/D15</f>
        <v>0.664092664092664</v>
      </c>
    </row>
    <row r="16" customFormat="false" ht="18.75" hidden="false" customHeight="true" outlineLevel="0" collapsed="false">
      <c r="A16" s="13" t="s">
        <v>136</v>
      </c>
      <c r="B16" s="19" t="n">
        <v>49</v>
      </c>
      <c r="C16" s="19" t="n">
        <v>165</v>
      </c>
      <c r="D16" s="19" t="n">
        <f aca="false">B16+C16</f>
        <v>214</v>
      </c>
      <c r="E16" s="20" t="n">
        <f aca="false">D16/$D$30</f>
        <v>0.0243458475540387</v>
      </c>
      <c r="F16" s="20" t="n">
        <f aca="false">B16/D16</f>
        <v>0.228971962616822</v>
      </c>
      <c r="G16" s="20" t="n">
        <f aca="false">C16/D16</f>
        <v>0.771028037383178</v>
      </c>
    </row>
    <row r="17" customFormat="false" ht="18.75" hidden="false" customHeight="true" outlineLevel="0" collapsed="false">
      <c r="A17" s="17" t="s">
        <v>137</v>
      </c>
      <c r="B17" s="21" t="n">
        <v>148</v>
      </c>
      <c r="C17" s="21" t="n">
        <v>65</v>
      </c>
      <c r="D17" s="21" t="n">
        <f aca="false">B17+C17</f>
        <v>213</v>
      </c>
      <c r="E17" s="22" t="n">
        <f aca="false">D17/$D$30</f>
        <v>0.0242320819112628</v>
      </c>
      <c r="F17" s="22" t="n">
        <f aca="false">B17/D17</f>
        <v>0.694835680751174</v>
      </c>
      <c r="G17" s="22" t="n">
        <f aca="false">C17/D17</f>
        <v>0.305164319248826</v>
      </c>
    </row>
    <row r="18" customFormat="false" ht="18.75" hidden="false" customHeight="true" outlineLevel="0" collapsed="false">
      <c r="A18" s="13" t="s">
        <v>138</v>
      </c>
      <c r="B18" s="19" t="n">
        <v>129</v>
      </c>
      <c r="C18" s="19" t="n">
        <v>53</v>
      </c>
      <c r="D18" s="19" t="n">
        <f aca="false">B18+C18</f>
        <v>182</v>
      </c>
      <c r="E18" s="20" t="n">
        <f aca="false">D18/$D$30</f>
        <v>0.0207053469852105</v>
      </c>
      <c r="F18" s="20" t="n">
        <f aca="false">B18/D18</f>
        <v>0.708791208791209</v>
      </c>
      <c r="G18" s="20" t="n">
        <f aca="false">C18/D18</f>
        <v>0.291208791208791</v>
      </c>
    </row>
    <row r="19" customFormat="false" ht="18.75" hidden="false" customHeight="true" outlineLevel="0" collapsed="false">
      <c r="A19" s="17" t="s">
        <v>139</v>
      </c>
      <c r="B19" s="21" t="n">
        <v>90</v>
      </c>
      <c r="C19" s="21" t="n">
        <v>48</v>
      </c>
      <c r="D19" s="21" t="n">
        <f aca="false">B19+C19</f>
        <v>138</v>
      </c>
      <c r="E19" s="22" t="n">
        <f aca="false">D19/$D$30</f>
        <v>0.0156996587030717</v>
      </c>
      <c r="F19" s="22" t="n">
        <f aca="false">B19/D19</f>
        <v>0.652173913043478</v>
      </c>
      <c r="G19" s="22" t="n">
        <f aca="false">C19/D19</f>
        <v>0.347826086956522</v>
      </c>
    </row>
    <row r="20" customFormat="false" ht="18.75" hidden="false" customHeight="true" outlineLevel="0" collapsed="false">
      <c r="A20" s="13" t="s">
        <v>140</v>
      </c>
      <c r="B20" s="19" t="n">
        <v>109</v>
      </c>
      <c r="C20" s="19" t="n">
        <v>14</v>
      </c>
      <c r="D20" s="19" t="n">
        <f aca="false">B20+C20</f>
        <v>123</v>
      </c>
      <c r="E20" s="20" t="n">
        <f aca="false">D20/$D$30</f>
        <v>0.0139931740614334</v>
      </c>
      <c r="F20" s="20" t="n">
        <f aca="false">B20/D20</f>
        <v>0.886178861788618</v>
      </c>
      <c r="G20" s="20" t="n">
        <f aca="false">C20/D20</f>
        <v>0.113821138211382</v>
      </c>
    </row>
    <row r="21" customFormat="false" ht="18.75" hidden="false" customHeight="true" outlineLevel="0" collapsed="false">
      <c r="A21" s="17" t="s">
        <v>141</v>
      </c>
      <c r="B21" s="21" t="n">
        <v>61</v>
      </c>
      <c r="C21" s="21" t="n">
        <v>53</v>
      </c>
      <c r="D21" s="21" t="n">
        <f aca="false">B21+C21</f>
        <v>114</v>
      </c>
      <c r="E21" s="22" t="n">
        <f aca="false">D21/$D$30</f>
        <v>0.0129692832764505</v>
      </c>
      <c r="F21" s="22" t="n">
        <f aca="false">B21/D21</f>
        <v>0.535087719298246</v>
      </c>
      <c r="G21" s="22" t="n">
        <f aca="false">C21/D21</f>
        <v>0.464912280701754</v>
      </c>
    </row>
    <row r="22" customFormat="false" ht="18.75" hidden="false" customHeight="true" outlineLevel="0" collapsed="false">
      <c r="A22" s="13" t="s">
        <v>142</v>
      </c>
      <c r="B22" s="19" t="n">
        <v>82</v>
      </c>
      <c r="C22" s="19" t="n">
        <v>30</v>
      </c>
      <c r="D22" s="19" t="n">
        <f aca="false">B22+C22</f>
        <v>112</v>
      </c>
      <c r="E22" s="20" t="n">
        <f aca="false">D22/$D$30</f>
        <v>0.0127417519908988</v>
      </c>
      <c r="F22" s="20" t="n">
        <f aca="false">B22/D22</f>
        <v>0.732142857142857</v>
      </c>
      <c r="G22" s="20" t="n">
        <f aca="false">C22/D22</f>
        <v>0.267857142857143</v>
      </c>
    </row>
    <row r="23" customFormat="false" ht="18.75" hidden="false" customHeight="true" outlineLevel="0" collapsed="false">
      <c r="A23" s="17" t="s">
        <v>143</v>
      </c>
      <c r="B23" s="21" t="n">
        <v>96</v>
      </c>
      <c r="C23" s="21" t="n">
        <v>9</v>
      </c>
      <c r="D23" s="21" t="n">
        <f aca="false">B23+C23</f>
        <v>105</v>
      </c>
      <c r="E23" s="22" t="n">
        <f aca="false">D23/$D$30</f>
        <v>0.0119453924914676</v>
      </c>
      <c r="F23" s="22" t="n">
        <f aca="false">B23/D23</f>
        <v>0.914285714285714</v>
      </c>
      <c r="G23" s="22" t="n">
        <f aca="false">C23/D23</f>
        <v>0.0857142857142857</v>
      </c>
    </row>
    <row r="24" customFormat="false" ht="18.75" hidden="false" customHeight="true" outlineLevel="0" collapsed="false">
      <c r="A24" s="13" t="s">
        <v>144</v>
      </c>
      <c r="B24" s="19" t="n">
        <v>79</v>
      </c>
      <c r="C24" s="19" t="n">
        <v>25</v>
      </c>
      <c r="D24" s="19" t="n">
        <f aca="false">B24+C24</f>
        <v>104</v>
      </c>
      <c r="E24" s="20" t="n">
        <f aca="false">D24/$D$30</f>
        <v>0.0118316268486917</v>
      </c>
      <c r="F24" s="20" t="n">
        <f aca="false">B24/D24</f>
        <v>0.759615384615385</v>
      </c>
      <c r="G24" s="20" t="n">
        <f aca="false">C24/D24</f>
        <v>0.240384615384615</v>
      </c>
    </row>
    <row r="25" customFormat="false" ht="18.75" hidden="false" customHeight="true" outlineLevel="0" collapsed="false">
      <c r="A25" s="17" t="s">
        <v>145</v>
      </c>
      <c r="B25" s="21" t="n">
        <v>59</v>
      </c>
      <c r="C25" s="21" t="n">
        <v>41</v>
      </c>
      <c r="D25" s="21" t="n">
        <f aca="false">B25+C25</f>
        <v>100</v>
      </c>
      <c r="E25" s="22" t="n">
        <f aca="false">D25/$D$30</f>
        <v>0.0113765642775882</v>
      </c>
      <c r="F25" s="22" t="n">
        <f aca="false">B25/D25</f>
        <v>0.59</v>
      </c>
      <c r="G25" s="22" t="n">
        <f aca="false">C25/D25</f>
        <v>0.41</v>
      </c>
    </row>
    <row r="26" customFormat="false" ht="18.75" hidden="false" customHeight="true" outlineLevel="0" collapsed="false">
      <c r="A26" s="13" t="s">
        <v>146</v>
      </c>
      <c r="B26" s="19" t="n">
        <v>60</v>
      </c>
      <c r="C26" s="19" t="n">
        <v>28</v>
      </c>
      <c r="D26" s="19" t="n">
        <f aca="false">B26+C26</f>
        <v>88</v>
      </c>
      <c r="E26" s="20" t="n">
        <f aca="false">D26/$D$30</f>
        <v>0.0100113765642776</v>
      </c>
      <c r="F26" s="20" t="n">
        <f aca="false">B26/D26</f>
        <v>0.681818181818182</v>
      </c>
      <c r="G26" s="20" t="n">
        <f aca="false">C26/D26</f>
        <v>0.318181818181818</v>
      </c>
    </row>
    <row r="27" customFormat="false" ht="18.75" hidden="false" customHeight="true" outlineLevel="0" collapsed="false">
      <c r="A27" s="17" t="s">
        <v>147</v>
      </c>
      <c r="B27" s="21" t="n">
        <v>84</v>
      </c>
      <c r="C27" s="21" t="n">
        <v>2</v>
      </c>
      <c r="D27" s="21" t="n">
        <f aca="false">B27+C27</f>
        <v>86</v>
      </c>
      <c r="E27" s="22" t="n">
        <f aca="false">D27/$D$30</f>
        <v>0.00978384527872583</v>
      </c>
      <c r="F27" s="22" t="n">
        <f aca="false">B27/D27</f>
        <v>0.976744186046512</v>
      </c>
      <c r="G27" s="22" t="n">
        <f aca="false">C27/D27</f>
        <v>0.0232558139534884</v>
      </c>
    </row>
    <row r="28" customFormat="false" ht="18.75" hidden="false" customHeight="true" outlineLevel="0" collapsed="false">
      <c r="A28" s="13" t="s">
        <v>148</v>
      </c>
      <c r="B28" s="19" t="n">
        <v>15</v>
      </c>
      <c r="C28" s="19" t="n">
        <v>71</v>
      </c>
      <c r="D28" s="19" t="n">
        <f aca="false">B28+C28</f>
        <v>86</v>
      </c>
      <c r="E28" s="20" t="n">
        <f aca="false">D28/$D$30</f>
        <v>0.00978384527872583</v>
      </c>
      <c r="F28" s="20" t="n">
        <f aca="false">B28/D28</f>
        <v>0.174418604651163</v>
      </c>
      <c r="G28" s="20" t="n">
        <f aca="false">C28/D28</f>
        <v>0.825581395348837</v>
      </c>
    </row>
    <row r="29" customFormat="false" ht="18.75" hidden="false" customHeight="true" outlineLevel="0" collapsed="false">
      <c r="A29" s="17" t="s">
        <v>149</v>
      </c>
      <c r="B29" s="21" t="n">
        <v>705</v>
      </c>
      <c r="C29" s="21" t="n">
        <v>247</v>
      </c>
      <c r="D29" s="21" t="n">
        <f aca="false">B29+C29</f>
        <v>952</v>
      </c>
      <c r="E29" s="22" t="n">
        <f aca="false">D29/$D$30</f>
        <v>0.108304891922639</v>
      </c>
      <c r="F29" s="22" t="n">
        <f aca="false">B29/D29</f>
        <v>0.740546218487395</v>
      </c>
      <c r="G29" s="22" t="n">
        <f aca="false">C29/D29</f>
        <v>0.259453781512605</v>
      </c>
    </row>
    <row r="30" customFormat="false" ht="21.75" hidden="false" customHeight="true" outlineLevel="0" collapsed="false">
      <c r="A30" s="23" t="s">
        <v>68</v>
      </c>
      <c r="B30" s="24" t="n">
        <f aca="false">SUM(B9:B29)</f>
        <v>6126</v>
      </c>
      <c r="C30" s="24" t="n">
        <f aca="false">SUM(C9:C29)</f>
        <v>2664</v>
      </c>
      <c r="D30" s="24" t="n">
        <f aca="false">SUM(D9:D29)</f>
        <v>8790</v>
      </c>
      <c r="E30" s="25" t="n">
        <f aca="false">SUM(E9:E29)</f>
        <v>1</v>
      </c>
      <c r="F30" s="25" t="n">
        <f aca="false">B30/D30</f>
        <v>0.696928327645051</v>
      </c>
      <c r="G30" s="25" t="n">
        <f aca="false">C30/D30</f>
        <v>0.303071672354949</v>
      </c>
    </row>
    <row r="32" customFormat="false" ht="15" hidden="false" customHeight="false" outlineLevel="0" collapsed="false">
      <c r="A32" s="27" t="s">
        <v>150</v>
      </c>
    </row>
  </sheetData>
  <mergeCells count="14">
    <mergeCell ref="A1:M1"/>
    <mergeCell ref="A2:M2"/>
    <mergeCell ref="A4:C4"/>
    <mergeCell ref="D4:F4"/>
    <mergeCell ref="G4:I4"/>
    <mergeCell ref="J4:M4"/>
    <mergeCell ref="A5:C5"/>
    <mergeCell ref="D5:F5"/>
    <mergeCell ref="G5:I5"/>
    <mergeCell ref="J5:M5"/>
    <mergeCell ref="A6:C6"/>
    <mergeCell ref="D6:F6"/>
    <mergeCell ref="G6:I6"/>
    <mergeCell ref="J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7" min="5" style="0" width="21"/>
    <col collapsed="false" customWidth="true" hidden="false" outlineLevel="0" max="13" min="8" style="0" width="12"/>
  </cols>
  <sheetData>
    <row r="1" customFormat="false" ht="27.75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8" hidden="false" customHeight="true" outlineLevel="0" collapsed="false">
      <c r="A4" s="3" t="s">
        <v>153</v>
      </c>
      <c r="B4" s="3"/>
      <c r="C4" s="3"/>
      <c r="D4" s="3" t="s">
        <v>154</v>
      </c>
      <c r="E4" s="3"/>
      <c r="F4" s="3"/>
      <c r="G4" s="3" t="s">
        <v>155</v>
      </c>
      <c r="H4" s="3"/>
      <c r="I4" s="3"/>
      <c r="J4" s="3" t="s">
        <v>156</v>
      </c>
      <c r="K4" s="3"/>
      <c r="L4" s="3"/>
      <c r="M4" s="3"/>
    </row>
    <row r="5" customFormat="false" ht="25.5" hidden="false" customHeight="true" outlineLevel="0" collapsed="false">
      <c r="A5" s="4" t="n">
        <f aca="false">D9</f>
        <v>4007</v>
      </c>
      <c r="B5" s="4"/>
      <c r="C5" s="4"/>
      <c r="D5" s="4" t="n">
        <f aca="false">D10</f>
        <v>2647</v>
      </c>
      <c r="E5" s="4"/>
      <c r="F5" s="4"/>
      <c r="G5" s="4" t="n">
        <f aca="false">SUM(D11:D13)</f>
        <v>2054</v>
      </c>
      <c r="H5" s="4"/>
      <c r="I5" s="4"/>
      <c r="J5" s="4" t="n">
        <v>3205</v>
      </c>
      <c r="K5" s="4"/>
      <c r="L5" s="4"/>
      <c r="M5" s="4"/>
    </row>
    <row r="6" customFormat="false" ht="15.75" hidden="false" customHeight="true" outlineLevel="0" collapsed="false">
      <c r="A6" s="6" t="s">
        <v>157</v>
      </c>
      <c r="B6" s="6"/>
      <c r="C6" s="6"/>
      <c r="D6" s="6" t="s">
        <v>158</v>
      </c>
      <c r="E6" s="6"/>
      <c r="F6" s="6"/>
      <c r="G6" s="6" t="s">
        <v>159</v>
      </c>
      <c r="H6" s="6"/>
      <c r="I6" s="6"/>
      <c r="J6" s="6" t="s">
        <v>160</v>
      </c>
      <c r="K6" s="6"/>
      <c r="L6" s="6"/>
      <c r="M6" s="6"/>
    </row>
    <row r="7" customFormat="false" ht="15" hidden="false" customHeight="false" outlineLevel="0" collapsed="false">
      <c r="A7" s="7" t="s">
        <v>161</v>
      </c>
    </row>
    <row r="8" customFormat="false" ht="15" hidden="false" customHeight="false" outlineLevel="0" collapsed="false">
      <c r="A8" s="9" t="s">
        <v>162</v>
      </c>
      <c r="B8" s="18" t="s">
        <v>125</v>
      </c>
      <c r="C8" s="18" t="s">
        <v>126</v>
      </c>
      <c r="D8" s="18" t="s">
        <v>58</v>
      </c>
      <c r="E8" s="18" t="s">
        <v>59</v>
      </c>
      <c r="F8" s="18" t="s">
        <v>128</v>
      </c>
      <c r="G8" s="18" t="s">
        <v>60</v>
      </c>
    </row>
    <row r="9" customFormat="false" ht="19.5" hidden="false" customHeight="true" outlineLevel="0" collapsed="false">
      <c r="A9" s="17" t="s">
        <v>163</v>
      </c>
      <c r="B9" s="21" t="n">
        <v>2862</v>
      </c>
      <c r="C9" s="21" t="n">
        <v>1145</v>
      </c>
      <c r="D9" s="21" t="n">
        <f aca="false">B9+C9</f>
        <v>4007</v>
      </c>
      <c r="E9" s="22" t="n">
        <f aca="false">D9/$D$15</f>
        <v>0.455858930602958</v>
      </c>
      <c r="F9" s="22" t="n">
        <f aca="false">B9/D9</f>
        <v>0.714250062390816</v>
      </c>
      <c r="G9" s="22" t="n">
        <f aca="false">C9/D9</f>
        <v>0.285749937609184</v>
      </c>
    </row>
    <row r="10" customFormat="false" ht="19.5" hidden="false" customHeight="true" outlineLevel="0" collapsed="false">
      <c r="A10" s="13" t="s">
        <v>164</v>
      </c>
      <c r="B10" s="19" t="n">
        <v>1917</v>
      </c>
      <c r="C10" s="19" t="n">
        <v>730</v>
      </c>
      <c r="D10" s="19" t="n">
        <f aca="false">B10+C10</f>
        <v>2647</v>
      </c>
      <c r="E10" s="20" t="n">
        <f aca="false">D10/$D$15</f>
        <v>0.301137656427759</v>
      </c>
      <c r="F10" s="20" t="n">
        <f aca="false">B10/D10</f>
        <v>0.724216093690971</v>
      </c>
      <c r="G10" s="20" t="n">
        <f aca="false">C10/D10</f>
        <v>0.275783906309029</v>
      </c>
    </row>
    <row r="11" customFormat="false" ht="19.5" hidden="false" customHeight="true" outlineLevel="0" collapsed="false">
      <c r="A11" s="17" t="s">
        <v>165</v>
      </c>
      <c r="B11" s="21" t="n">
        <v>827</v>
      </c>
      <c r="C11" s="21" t="n">
        <v>321</v>
      </c>
      <c r="D11" s="21" t="n">
        <f aca="false">B11+C11</f>
        <v>1148</v>
      </c>
      <c r="E11" s="22" t="n">
        <f aca="false">D11/$D$15</f>
        <v>0.130602957906712</v>
      </c>
      <c r="F11" s="22" t="n">
        <f aca="false">B11/D11</f>
        <v>0.720383275261324</v>
      </c>
      <c r="G11" s="22" t="n">
        <f aca="false">C11/D11</f>
        <v>0.279616724738676</v>
      </c>
    </row>
    <row r="12" customFormat="false" ht="19.5" hidden="false" customHeight="true" outlineLevel="0" collapsed="false">
      <c r="A12" s="13" t="s">
        <v>166</v>
      </c>
      <c r="B12" s="19" t="n">
        <v>298</v>
      </c>
      <c r="C12" s="19" t="n">
        <v>269</v>
      </c>
      <c r="D12" s="19" t="n">
        <f aca="false">B12+C12</f>
        <v>567</v>
      </c>
      <c r="E12" s="20" t="n">
        <f aca="false">D12/$D$15</f>
        <v>0.0645051194539249</v>
      </c>
      <c r="F12" s="20" t="n">
        <f aca="false">B12/D12</f>
        <v>0.525573192239859</v>
      </c>
      <c r="G12" s="20" t="n">
        <f aca="false">C12/D12</f>
        <v>0.474426807760141</v>
      </c>
    </row>
    <row r="13" customFormat="false" ht="19.5" hidden="false" customHeight="true" outlineLevel="0" collapsed="false">
      <c r="A13" s="17" t="s">
        <v>167</v>
      </c>
      <c r="B13" s="21" t="n">
        <v>144</v>
      </c>
      <c r="C13" s="21" t="n">
        <v>195</v>
      </c>
      <c r="D13" s="21" t="n">
        <f aca="false">B13+C13</f>
        <v>339</v>
      </c>
      <c r="E13" s="22" t="n">
        <f aca="false">D13/$D$15</f>
        <v>0.0385665529010239</v>
      </c>
      <c r="F13" s="22" t="n">
        <f aca="false">B13/D13</f>
        <v>0.424778761061947</v>
      </c>
      <c r="G13" s="22" t="n">
        <f aca="false">C13/D13</f>
        <v>0.575221238938053</v>
      </c>
    </row>
    <row r="14" customFormat="false" ht="19.5" hidden="false" customHeight="true" outlineLevel="0" collapsed="false">
      <c r="A14" s="13" t="s">
        <v>168</v>
      </c>
      <c r="B14" s="19" t="n">
        <v>78</v>
      </c>
      <c r="C14" s="19" t="n">
        <v>4</v>
      </c>
      <c r="D14" s="19" t="n">
        <f aca="false">B14+C14</f>
        <v>82</v>
      </c>
      <c r="E14" s="20" t="n">
        <f aca="false">D14/$D$15</f>
        <v>0.0093287827076223</v>
      </c>
      <c r="F14" s="20" t="n">
        <f aca="false">B14/D14</f>
        <v>0.951219512195122</v>
      </c>
      <c r="G14" s="20" t="n">
        <f aca="false">C14/D14</f>
        <v>0.0487804878048781</v>
      </c>
    </row>
    <row r="15" customFormat="false" ht="21.75" hidden="false" customHeight="true" outlineLevel="0" collapsed="false">
      <c r="A15" s="23" t="s">
        <v>169</v>
      </c>
      <c r="B15" s="24" t="n">
        <f aca="false">SUM(B9:B14)</f>
        <v>6126</v>
      </c>
      <c r="C15" s="24" t="n">
        <f aca="false">SUM(C9:C14)</f>
        <v>2664</v>
      </c>
      <c r="D15" s="24" t="n">
        <f aca="false">SUM(D9:D14)</f>
        <v>8790</v>
      </c>
      <c r="E15" s="25" t="n">
        <f aca="false">SUM(E9:E14)</f>
        <v>1</v>
      </c>
      <c r="F15" s="25" t="n">
        <f aca="false">B15/D15</f>
        <v>0.696928327645051</v>
      </c>
      <c r="G15" s="25" t="n">
        <f aca="false">C15/D15</f>
        <v>0.303071672354949</v>
      </c>
    </row>
    <row r="18" customFormat="false" ht="15" hidden="false" customHeight="false" outlineLevel="0" collapsed="false">
      <c r="A18" s="7" t="s">
        <v>170</v>
      </c>
    </row>
    <row r="19" customFormat="false" ht="15" hidden="false" customHeight="false" outlineLevel="0" collapsed="false">
      <c r="A19" s="9" t="s">
        <v>171</v>
      </c>
      <c r="B19" s="9" t="s">
        <v>172</v>
      </c>
      <c r="C19" s="18" t="s">
        <v>125</v>
      </c>
      <c r="D19" s="18" t="s">
        <v>126</v>
      </c>
      <c r="E19" s="18" t="s">
        <v>58</v>
      </c>
      <c r="F19" s="18" t="s">
        <v>59</v>
      </c>
      <c r="G19" s="18" t="s">
        <v>60</v>
      </c>
    </row>
    <row r="20" customFormat="false" ht="18.75" hidden="false" customHeight="true" outlineLevel="0" collapsed="false">
      <c r="A20" s="13" t="s">
        <v>173</v>
      </c>
      <c r="B20" s="13" t="s">
        <v>174</v>
      </c>
      <c r="C20" s="19" t="n">
        <v>2062</v>
      </c>
      <c r="D20" s="19" t="n">
        <v>1143</v>
      </c>
      <c r="E20" s="19" t="n">
        <f aca="false">C20+D20</f>
        <v>3205</v>
      </c>
      <c r="F20" s="20" t="n">
        <f aca="false">E20/$E$34</f>
        <v>0.364618885096701</v>
      </c>
      <c r="G20" s="20" t="n">
        <f aca="false">D20/E20</f>
        <v>0.356630265210608</v>
      </c>
    </row>
    <row r="21" customFormat="false" ht="18.75" hidden="false" customHeight="true" outlineLevel="0" collapsed="false">
      <c r="A21" s="17" t="s">
        <v>175</v>
      </c>
      <c r="B21" s="17" t="s">
        <v>176</v>
      </c>
      <c r="C21" s="21" t="n">
        <v>1427</v>
      </c>
      <c r="D21" s="21" t="n">
        <v>730</v>
      </c>
      <c r="E21" s="21" t="n">
        <f aca="false">C21+D21</f>
        <v>2157</v>
      </c>
      <c r="F21" s="22" t="n">
        <f aca="false">E21/$E$34</f>
        <v>0.245392491467577</v>
      </c>
      <c r="G21" s="22" t="n">
        <f aca="false">D21/E21</f>
        <v>0.33843300880853</v>
      </c>
    </row>
    <row r="22" customFormat="false" ht="18.75" hidden="false" customHeight="true" outlineLevel="0" collapsed="false">
      <c r="A22" s="13" t="s">
        <v>177</v>
      </c>
      <c r="B22" s="13" t="s">
        <v>178</v>
      </c>
      <c r="C22" s="19" t="n">
        <v>540</v>
      </c>
      <c r="D22" s="19" t="n">
        <v>321</v>
      </c>
      <c r="E22" s="19" t="n">
        <f aca="false">C22+D22</f>
        <v>861</v>
      </c>
      <c r="F22" s="20" t="n">
        <f aca="false">E22/$E$34</f>
        <v>0.0979522184300341</v>
      </c>
      <c r="G22" s="20" t="n">
        <f aca="false">D22/E22</f>
        <v>0.372822299651568</v>
      </c>
    </row>
    <row r="23" customFormat="false" ht="18.75" hidden="false" customHeight="true" outlineLevel="0" collapsed="false">
      <c r="A23" s="17" t="s">
        <v>179</v>
      </c>
      <c r="B23" s="17" t="s">
        <v>174</v>
      </c>
      <c r="C23" s="21" t="n">
        <v>797</v>
      </c>
      <c r="D23" s="21" t="n">
        <v>2</v>
      </c>
      <c r="E23" s="21" t="n">
        <f aca="false">C23+D23</f>
        <v>799</v>
      </c>
      <c r="F23" s="22" t="n">
        <f aca="false">E23/$E$34</f>
        <v>0.0908987485779295</v>
      </c>
      <c r="G23" s="22" t="n">
        <f aca="false">D23/E23</f>
        <v>0.00250312891113892</v>
      </c>
    </row>
    <row r="24" customFormat="false" ht="18.75" hidden="false" customHeight="true" outlineLevel="0" collapsed="false">
      <c r="A24" s="13" t="s">
        <v>180</v>
      </c>
      <c r="B24" s="13" t="s">
        <v>176</v>
      </c>
      <c r="C24" s="19" t="n">
        <v>490</v>
      </c>
      <c r="D24" s="19" t="n">
        <v>0</v>
      </c>
      <c r="E24" s="19" t="n">
        <f aca="false">C24+D24</f>
        <v>490</v>
      </c>
      <c r="F24" s="20" t="n">
        <f aca="false">E24/$E$34</f>
        <v>0.055745164960182</v>
      </c>
      <c r="G24" s="20" t="n">
        <f aca="false">D24/E24</f>
        <v>0</v>
      </c>
    </row>
    <row r="25" customFormat="false" ht="18.75" hidden="false" customHeight="true" outlineLevel="0" collapsed="false">
      <c r="A25" s="17" t="s">
        <v>181</v>
      </c>
      <c r="B25" s="17" t="s">
        <v>182</v>
      </c>
      <c r="C25" s="21" t="n">
        <v>139</v>
      </c>
      <c r="D25" s="21" t="n">
        <v>194</v>
      </c>
      <c r="E25" s="21" t="n">
        <f aca="false">C25+D25</f>
        <v>333</v>
      </c>
      <c r="F25" s="22" t="n">
        <f aca="false">E25/$E$34</f>
        <v>0.0378839590443686</v>
      </c>
      <c r="G25" s="22" t="n">
        <f aca="false">D25/E25</f>
        <v>0.582582582582583</v>
      </c>
    </row>
    <row r="26" customFormat="false" ht="18.75" hidden="false" customHeight="true" outlineLevel="0" collapsed="false">
      <c r="A26" s="13" t="s">
        <v>183</v>
      </c>
      <c r="B26" s="13" t="s">
        <v>184</v>
      </c>
      <c r="C26" s="19" t="n">
        <v>131</v>
      </c>
      <c r="D26" s="19" t="n">
        <v>175</v>
      </c>
      <c r="E26" s="19" t="n">
        <f aca="false">C26+D26</f>
        <v>306</v>
      </c>
      <c r="F26" s="20" t="n">
        <f aca="false">E26/$E$34</f>
        <v>0.0348122866894198</v>
      </c>
      <c r="G26" s="20" t="n">
        <f aca="false">D26/E26</f>
        <v>0.571895424836601</v>
      </c>
    </row>
    <row r="27" customFormat="false" ht="18.75" hidden="false" customHeight="true" outlineLevel="0" collapsed="false">
      <c r="A27" s="17" t="s">
        <v>185</v>
      </c>
      <c r="B27" s="17" t="s">
        <v>178</v>
      </c>
      <c r="C27" s="21" t="n">
        <v>287</v>
      </c>
      <c r="D27" s="21" t="n">
        <v>0</v>
      </c>
      <c r="E27" s="21" t="n">
        <f aca="false">C27+D27</f>
        <v>287</v>
      </c>
      <c r="F27" s="22" t="n">
        <f aca="false">E27/$E$34</f>
        <v>0.032650739476678</v>
      </c>
      <c r="G27" s="22" t="n">
        <f aca="false">D27/E27</f>
        <v>0</v>
      </c>
    </row>
    <row r="28" customFormat="false" ht="18.75" hidden="false" customHeight="true" outlineLevel="0" collapsed="false">
      <c r="A28" s="13" t="s">
        <v>186</v>
      </c>
      <c r="B28" s="13" t="s">
        <v>184</v>
      </c>
      <c r="C28" s="19" t="n">
        <v>126</v>
      </c>
      <c r="D28" s="19" t="n">
        <v>94</v>
      </c>
      <c r="E28" s="19" t="n">
        <f aca="false">C28+D28</f>
        <v>220</v>
      </c>
      <c r="F28" s="20" t="n">
        <f aca="false">E28/$E$34</f>
        <v>0.025028441410694</v>
      </c>
      <c r="G28" s="20" t="n">
        <f aca="false">D28/E28</f>
        <v>0.427272727272727</v>
      </c>
    </row>
    <row r="29" customFormat="false" ht="18.75" hidden="false" customHeight="true" outlineLevel="0" collapsed="false">
      <c r="A29" s="17" t="s">
        <v>187</v>
      </c>
      <c r="B29" s="17" t="s">
        <v>188</v>
      </c>
      <c r="C29" s="21" t="n">
        <v>75</v>
      </c>
      <c r="D29" s="21" t="n">
        <v>4</v>
      </c>
      <c r="E29" s="21" t="n">
        <f aca="false">C29+D29</f>
        <v>79</v>
      </c>
      <c r="F29" s="22" t="n">
        <f aca="false">E29/$E$34</f>
        <v>0.00898748577929465</v>
      </c>
      <c r="G29" s="22" t="n">
        <f aca="false">D29/E29</f>
        <v>0.0506329113924051</v>
      </c>
    </row>
    <row r="30" customFormat="false" ht="18.75" hidden="false" customHeight="true" outlineLevel="0" collapsed="false">
      <c r="A30" s="13" t="s">
        <v>189</v>
      </c>
      <c r="B30" s="13" t="s">
        <v>184</v>
      </c>
      <c r="C30" s="19" t="n">
        <v>41</v>
      </c>
      <c r="D30" s="19" t="n">
        <v>0</v>
      </c>
      <c r="E30" s="19" t="n">
        <f aca="false">C30+D30</f>
        <v>41</v>
      </c>
      <c r="F30" s="20" t="n">
        <f aca="false">E30/$E$34</f>
        <v>0.00466439135381115</v>
      </c>
      <c r="G30" s="20" t="n">
        <f aca="false">D30/E30</f>
        <v>0</v>
      </c>
    </row>
    <row r="31" customFormat="false" ht="18.75" hidden="false" customHeight="true" outlineLevel="0" collapsed="false">
      <c r="A31" s="17" t="s">
        <v>190</v>
      </c>
      <c r="B31" s="17" t="s">
        <v>191</v>
      </c>
      <c r="C31" s="21" t="n">
        <v>5</v>
      </c>
      <c r="D31" s="21" t="n">
        <v>1</v>
      </c>
      <c r="E31" s="21" t="n">
        <f aca="false">C31+D31</f>
        <v>6</v>
      </c>
      <c r="F31" s="22" t="n">
        <f aca="false">E31/$E$34</f>
        <v>0.00068259385665529</v>
      </c>
      <c r="G31" s="22" t="n">
        <f aca="false">D31/E31</f>
        <v>0.166666666666667</v>
      </c>
    </row>
    <row r="32" customFormat="false" ht="18.75" hidden="false" customHeight="true" outlineLevel="0" collapsed="false">
      <c r="A32" s="13" t="s">
        <v>192</v>
      </c>
      <c r="B32" s="13" t="s">
        <v>174</v>
      </c>
      <c r="C32" s="19" t="n">
        <v>3</v>
      </c>
      <c r="D32" s="19" t="n">
        <v>0</v>
      </c>
      <c r="E32" s="19" t="n">
        <f aca="false">C32+D32</f>
        <v>3</v>
      </c>
      <c r="F32" s="20" t="n">
        <f aca="false">E32/$E$34</f>
        <v>0.000341296928327645</v>
      </c>
      <c r="G32" s="20" t="n">
        <f aca="false">D32/E32</f>
        <v>0</v>
      </c>
    </row>
    <row r="33" customFormat="false" ht="18.75" hidden="false" customHeight="true" outlineLevel="0" collapsed="false">
      <c r="A33" s="17" t="s">
        <v>193</v>
      </c>
      <c r="B33" s="17" t="s">
        <v>188</v>
      </c>
      <c r="C33" s="21" t="n">
        <v>3</v>
      </c>
      <c r="D33" s="21" t="n">
        <v>0</v>
      </c>
      <c r="E33" s="21" t="n">
        <f aca="false">C33+D33</f>
        <v>3</v>
      </c>
      <c r="F33" s="22" t="n">
        <f aca="false">E33/$E$34</f>
        <v>0.000341296928327645</v>
      </c>
      <c r="G33" s="22" t="n">
        <f aca="false">D33/E33</f>
        <v>0</v>
      </c>
    </row>
    <row r="34" customFormat="false" ht="21.75" hidden="false" customHeight="true" outlineLevel="0" collapsed="false">
      <c r="A34" s="23" t="s">
        <v>194</v>
      </c>
      <c r="B34" s="23" t="s">
        <v>195</v>
      </c>
      <c r="C34" s="24" t="n">
        <f aca="false">SUM(C20:C33)</f>
        <v>6126</v>
      </c>
      <c r="D34" s="24" t="n">
        <f aca="false">SUM(D20:D33)</f>
        <v>2664</v>
      </c>
      <c r="E34" s="24" t="n">
        <f aca="false">SUM(E20:E33)</f>
        <v>8790</v>
      </c>
      <c r="F34" s="25" t="n">
        <f aca="false">SUM(F20:F33)</f>
        <v>1</v>
      </c>
      <c r="G34" s="25" t="n">
        <f aca="false">D34/E34</f>
        <v>0.303071672354949</v>
      </c>
    </row>
  </sheetData>
  <mergeCells count="14">
    <mergeCell ref="A1:M1"/>
    <mergeCell ref="A2:M2"/>
    <mergeCell ref="A4:C4"/>
    <mergeCell ref="D4:F4"/>
    <mergeCell ref="G4:I4"/>
    <mergeCell ref="J4:M4"/>
    <mergeCell ref="A5:C5"/>
    <mergeCell ref="D5:F5"/>
    <mergeCell ref="G5:I5"/>
    <mergeCell ref="J5:M5"/>
    <mergeCell ref="A6:C6"/>
    <mergeCell ref="D6:F6"/>
    <mergeCell ref="G6:I6"/>
    <mergeCell ref="J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7" min="6" style="0" width="21"/>
    <col collapsed="false" customWidth="true" hidden="false" outlineLevel="0" max="14" min="8" style="0" width="12"/>
  </cols>
  <sheetData>
    <row r="1" customFormat="false" ht="27.75" hidden="false" customHeight="true" outlineLevel="0" collapsed="false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8" hidden="false" customHeight="true" outlineLevel="0" collapsed="false">
      <c r="A4" s="3" t="s">
        <v>198</v>
      </c>
      <c r="B4" s="3"/>
      <c r="C4" s="3"/>
      <c r="D4" s="3" t="s">
        <v>199</v>
      </c>
      <c r="E4" s="3"/>
      <c r="F4" s="3"/>
      <c r="G4" s="3" t="s">
        <v>200</v>
      </c>
      <c r="H4" s="3"/>
      <c r="I4" s="3"/>
      <c r="J4" s="3" t="s">
        <v>201</v>
      </c>
      <c r="K4" s="3"/>
      <c r="L4" s="3"/>
      <c r="M4" s="3"/>
      <c r="N4" s="3"/>
    </row>
    <row r="5" customFormat="false" ht="25.5" hidden="false" customHeight="true" outlineLevel="0" collapsed="false">
      <c r="A5" s="4" t="n">
        <f aca="false">D19</f>
        <v>1648</v>
      </c>
      <c r="B5" s="4"/>
      <c r="C5" s="4"/>
      <c r="D5" s="4" t="n">
        <v>1146</v>
      </c>
      <c r="E5" s="4"/>
      <c r="F5" s="4"/>
      <c r="G5" s="5" t="n">
        <v>0.37</v>
      </c>
      <c r="H5" s="5"/>
      <c r="I5" s="5"/>
      <c r="J5" s="28" t="n">
        <v>827</v>
      </c>
      <c r="K5" s="28"/>
      <c r="L5" s="28"/>
      <c r="M5" s="28"/>
      <c r="N5" s="28"/>
    </row>
    <row r="6" customFormat="false" ht="15.75" hidden="false" customHeight="true" outlineLevel="0" collapsed="false">
      <c r="A6" s="6" t="s">
        <v>202</v>
      </c>
      <c r="B6" s="6"/>
      <c r="C6" s="6"/>
      <c r="D6" s="6" t="s">
        <v>203</v>
      </c>
      <c r="E6" s="6"/>
      <c r="F6" s="6"/>
      <c r="G6" s="6" t="s">
        <v>204</v>
      </c>
      <c r="H6" s="6"/>
      <c r="I6" s="6"/>
      <c r="J6" s="6" t="s">
        <v>205</v>
      </c>
      <c r="K6" s="6"/>
      <c r="L6" s="6"/>
      <c r="M6" s="6"/>
      <c r="N6" s="6"/>
    </row>
    <row r="7" customFormat="false" ht="15" hidden="false" customHeight="false" outlineLevel="0" collapsed="false">
      <c r="A7" s="7" t="s">
        <v>206</v>
      </c>
    </row>
    <row r="8" customFormat="false" ht="15" hidden="false" customHeight="false" outlineLevel="0" collapsed="false">
      <c r="A8" s="8" t="s">
        <v>207</v>
      </c>
      <c r="B8" s="18" t="s">
        <v>208</v>
      </c>
      <c r="C8" s="18" t="s">
        <v>209</v>
      </c>
      <c r="D8" s="18" t="s">
        <v>210</v>
      </c>
      <c r="E8" s="18" t="s">
        <v>211</v>
      </c>
      <c r="F8" s="18" t="s">
        <v>60</v>
      </c>
      <c r="G8" s="18" t="s">
        <v>212</v>
      </c>
    </row>
    <row r="9" customFormat="false" ht="18.75" hidden="false" customHeight="true" outlineLevel="0" collapsed="false">
      <c r="A9" s="16" t="n">
        <v>2008</v>
      </c>
      <c r="B9" s="21" t="n">
        <v>1</v>
      </c>
      <c r="C9" s="21" t="n">
        <v>1</v>
      </c>
      <c r="D9" s="21" t="n">
        <f aca="false">B9+C9</f>
        <v>2</v>
      </c>
      <c r="E9" s="22" t="n">
        <f aca="false">D9/$D$23</f>
        <v>0.000227531285551763</v>
      </c>
      <c r="F9" s="22" t="n">
        <f aca="false">C9/D9</f>
        <v>0.5</v>
      </c>
      <c r="G9" s="21" t="n">
        <v>0</v>
      </c>
    </row>
    <row r="10" customFormat="false" ht="18.75" hidden="false" customHeight="true" outlineLevel="0" collapsed="false">
      <c r="A10" s="12" t="n">
        <v>2009</v>
      </c>
      <c r="B10" s="19" t="n">
        <v>2</v>
      </c>
      <c r="C10" s="19" t="n">
        <v>0</v>
      </c>
      <c r="D10" s="19" t="n">
        <f aca="false">B10+C10</f>
        <v>2</v>
      </c>
      <c r="E10" s="20" t="n">
        <f aca="false">D10/$D$23</f>
        <v>0.000227531285551763</v>
      </c>
      <c r="F10" s="20" t="n">
        <f aca="false">C10/D10</f>
        <v>0</v>
      </c>
      <c r="G10" s="19" t="n">
        <f aca="false">D10-D9</f>
        <v>0</v>
      </c>
    </row>
    <row r="11" customFormat="false" ht="18.75" hidden="false" customHeight="true" outlineLevel="0" collapsed="false">
      <c r="A11" s="16" t="n">
        <v>2010</v>
      </c>
      <c r="B11" s="21" t="n">
        <v>1</v>
      </c>
      <c r="C11" s="21" t="n">
        <v>0</v>
      </c>
      <c r="D11" s="21" t="n">
        <f aca="false">B11+C11</f>
        <v>1</v>
      </c>
      <c r="E11" s="22" t="n">
        <f aca="false">D11/$D$23</f>
        <v>0.000113765642775882</v>
      </c>
      <c r="F11" s="22" t="n">
        <f aca="false">C11/D11</f>
        <v>0</v>
      </c>
      <c r="G11" s="21" t="n">
        <f aca="false">D11-D10</f>
        <v>-1</v>
      </c>
    </row>
    <row r="12" customFormat="false" ht="18.75" hidden="false" customHeight="true" outlineLevel="0" collapsed="false">
      <c r="A12" s="12" t="n">
        <v>2011</v>
      </c>
      <c r="B12" s="19" t="n">
        <v>13</v>
      </c>
      <c r="C12" s="19" t="n">
        <v>0</v>
      </c>
      <c r="D12" s="19" t="n">
        <f aca="false">B12+C12</f>
        <v>13</v>
      </c>
      <c r="E12" s="20" t="n">
        <f aca="false">D12/$D$23</f>
        <v>0.00147895335608646</v>
      </c>
      <c r="F12" s="20" t="n">
        <f aca="false">C12/D12</f>
        <v>0</v>
      </c>
      <c r="G12" s="19" t="n">
        <f aca="false">D12-D11</f>
        <v>12</v>
      </c>
    </row>
    <row r="13" customFormat="false" ht="18.75" hidden="false" customHeight="true" outlineLevel="0" collapsed="false">
      <c r="A13" s="16" t="n">
        <v>2012</v>
      </c>
      <c r="B13" s="21" t="n">
        <v>3</v>
      </c>
      <c r="C13" s="21" t="n">
        <v>0</v>
      </c>
      <c r="D13" s="21" t="n">
        <f aca="false">B13+C13</f>
        <v>3</v>
      </c>
      <c r="E13" s="22" t="n">
        <f aca="false">D13/$D$23</f>
        <v>0.000341296928327645</v>
      </c>
      <c r="F13" s="22" t="n">
        <f aca="false">C13/D13</f>
        <v>0</v>
      </c>
      <c r="G13" s="21" t="n">
        <f aca="false">D13-D12</f>
        <v>-10</v>
      </c>
    </row>
    <row r="14" customFormat="false" ht="18.75" hidden="false" customHeight="true" outlineLevel="0" collapsed="false">
      <c r="A14" s="12" t="n">
        <v>2013</v>
      </c>
      <c r="B14" s="19" t="n">
        <v>6</v>
      </c>
      <c r="C14" s="19" t="n">
        <v>5</v>
      </c>
      <c r="D14" s="19" t="n">
        <f aca="false">B14+C14</f>
        <v>11</v>
      </c>
      <c r="E14" s="20" t="n">
        <f aca="false">D14/$D$23</f>
        <v>0.0012514220705347</v>
      </c>
      <c r="F14" s="20" t="n">
        <f aca="false">C14/D14</f>
        <v>0.454545454545455</v>
      </c>
      <c r="G14" s="19" t="n">
        <f aca="false">D14-D13</f>
        <v>8</v>
      </c>
    </row>
    <row r="15" customFormat="false" ht="18.75" hidden="false" customHeight="true" outlineLevel="0" collapsed="false">
      <c r="A15" s="16" t="n">
        <v>2014</v>
      </c>
      <c r="B15" s="21" t="n">
        <v>19</v>
      </c>
      <c r="C15" s="21" t="n">
        <v>5</v>
      </c>
      <c r="D15" s="21" t="n">
        <f aca="false">B15+C15</f>
        <v>24</v>
      </c>
      <c r="E15" s="22" t="n">
        <f aca="false">D15/$D$23</f>
        <v>0.00273037542662116</v>
      </c>
      <c r="F15" s="22" t="n">
        <f aca="false">C15/D15</f>
        <v>0.208333333333333</v>
      </c>
      <c r="G15" s="21" t="n">
        <f aca="false">D15-D14</f>
        <v>13</v>
      </c>
    </row>
    <row r="16" customFormat="false" ht="18.75" hidden="false" customHeight="true" outlineLevel="0" collapsed="false">
      <c r="A16" s="12" t="n">
        <v>2015</v>
      </c>
      <c r="B16" s="19" t="n">
        <v>56</v>
      </c>
      <c r="C16" s="19" t="n">
        <v>26</v>
      </c>
      <c r="D16" s="19" t="n">
        <f aca="false">B16+C16</f>
        <v>82</v>
      </c>
      <c r="E16" s="20" t="n">
        <f aca="false">D16/$D$23</f>
        <v>0.0093287827076223</v>
      </c>
      <c r="F16" s="20" t="n">
        <f aca="false">C16/D16</f>
        <v>0.317073170731707</v>
      </c>
      <c r="G16" s="19" t="n">
        <f aca="false">D16-D15</f>
        <v>58</v>
      </c>
    </row>
    <row r="17" customFormat="false" ht="18.75" hidden="false" customHeight="true" outlineLevel="0" collapsed="false">
      <c r="A17" s="16" t="n">
        <v>2016</v>
      </c>
      <c r="B17" s="21" t="n">
        <v>251</v>
      </c>
      <c r="C17" s="21" t="n">
        <v>175</v>
      </c>
      <c r="D17" s="21" t="n">
        <f aca="false">B17+C17</f>
        <v>426</v>
      </c>
      <c r="E17" s="22" t="n">
        <f aca="false">D17/$D$23</f>
        <v>0.0484641638225256</v>
      </c>
      <c r="F17" s="22" t="n">
        <f aca="false">C17/D17</f>
        <v>0.410798122065728</v>
      </c>
      <c r="G17" s="21" t="n">
        <f aca="false">D17-D16</f>
        <v>344</v>
      </c>
    </row>
    <row r="18" customFormat="false" ht="18.75" hidden="false" customHeight="true" outlineLevel="0" collapsed="false">
      <c r="A18" s="12" t="n">
        <v>2017</v>
      </c>
      <c r="B18" s="19" t="n">
        <v>836</v>
      </c>
      <c r="C18" s="19" t="n">
        <v>349</v>
      </c>
      <c r="D18" s="19" t="n">
        <f aca="false">B18+C18</f>
        <v>1185</v>
      </c>
      <c r="E18" s="20" t="n">
        <f aca="false">D18/$D$23</f>
        <v>0.13481228668942</v>
      </c>
      <c r="F18" s="20" t="n">
        <f aca="false">C18/D18</f>
        <v>0.294514767932489</v>
      </c>
      <c r="G18" s="19" t="n">
        <f aca="false">D18-D17</f>
        <v>759</v>
      </c>
    </row>
    <row r="19" customFormat="false" ht="18.75" hidden="false" customHeight="true" outlineLevel="0" collapsed="false">
      <c r="A19" s="16" t="n">
        <v>2018</v>
      </c>
      <c r="B19" s="21" t="n">
        <v>1237</v>
      </c>
      <c r="C19" s="21" t="n">
        <v>411</v>
      </c>
      <c r="D19" s="21" t="n">
        <f aca="false">B19+C19</f>
        <v>1648</v>
      </c>
      <c r="E19" s="22" t="n">
        <f aca="false">D19/$D$23</f>
        <v>0.187485779294653</v>
      </c>
      <c r="F19" s="22" t="n">
        <f aca="false">C19/D19</f>
        <v>0.249393203883495</v>
      </c>
      <c r="G19" s="21" t="n">
        <f aca="false">D19-D18</f>
        <v>463</v>
      </c>
    </row>
    <row r="20" customFormat="false" ht="18.75" hidden="false" customHeight="true" outlineLevel="0" collapsed="false">
      <c r="A20" s="12" t="n">
        <v>2019</v>
      </c>
      <c r="B20" s="19" t="n">
        <v>1424</v>
      </c>
      <c r="C20" s="19" t="n">
        <v>592</v>
      </c>
      <c r="D20" s="19" t="n">
        <f aca="false">B20+C20</f>
        <v>2016</v>
      </c>
      <c r="E20" s="20" t="n">
        <f aca="false">D20/$D$23</f>
        <v>0.229351535836177</v>
      </c>
      <c r="F20" s="20" t="n">
        <f aca="false">C20/D20</f>
        <v>0.293650793650794</v>
      </c>
      <c r="G20" s="19" t="n">
        <f aca="false">D20-D19</f>
        <v>368</v>
      </c>
    </row>
    <row r="21" customFormat="false" ht="18.75" hidden="false" customHeight="true" outlineLevel="0" collapsed="false">
      <c r="A21" s="16" t="n">
        <v>2020</v>
      </c>
      <c r="B21" s="21" t="n">
        <v>1284</v>
      </c>
      <c r="C21" s="21" t="n">
        <v>595</v>
      </c>
      <c r="D21" s="21" t="n">
        <f aca="false">B21+C21</f>
        <v>1879</v>
      </c>
      <c r="E21" s="22" t="n">
        <f aca="false">D21/$D$23</f>
        <v>0.213765642775882</v>
      </c>
      <c r="F21" s="22" t="n">
        <f aca="false">C21/D21</f>
        <v>0.316657796700373</v>
      </c>
      <c r="G21" s="21" t="n">
        <f aca="false">D21-D20</f>
        <v>-137</v>
      </c>
    </row>
    <row r="22" customFormat="false" ht="18.75" hidden="false" customHeight="true" outlineLevel="0" collapsed="false">
      <c r="A22" s="12" t="n">
        <v>2021</v>
      </c>
      <c r="B22" s="19" t="n">
        <v>993</v>
      </c>
      <c r="C22" s="19" t="n">
        <v>505</v>
      </c>
      <c r="D22" s="19" t="n">
        <f aca="false">B22+C22</f>
        <v>1498</v>
      </c>
      <c r="E22" s="20" t="n">
        <f aca="false">D22/$D$23</f>
        <v>0.170420932878271</v>
      </c>
      <c r="F22" s="20" t="n">
        <f aca="false">C22/D22</f>
        <v>0.337116154873164</v>
      </c>
      <c r="G22" s="19" t="n">
        <f aca="false">D22-D21</f>
        <v>-381</v>
      </c>
    </row>
    <row r="23" customFormat="false" ht="21.75" hidden="false" customHeight="true" outlineLevel="0" collapsed="false">
      <c r="A23" s="29" t="s">
        <v>194</v>
      </c>
      <c r="B23" s="24" t="n">
        <f aca="false">SUM(B9:B22)</f>
        <v>6126</v>
      </c>
      <c r="C23" s="24" t="n">
        <f aca="false">SUM(C9:C22)</f>
        <v>2664</v>
      </c>
      <c r="D23" s="24" t="n">
        <f aca="false">SUM(D9:D22)</f>
        <v>8790</v>
      </c>
      <c r="E23" s="25" t="n">
        <f aca="false">SUM(E9:E22)</f>
        <v>1</v>
      </c>
      <c r="F23" s="25" t="n">
        <f aca="false">C23/D23</f>
        <v>0.303071672354949</v>
      </c>
      <c r="G23" s="24" t="n">
        <f aca="false">D22-D9</f>
        <v>1496</v>
      </c>
    </row>
    <row r="26" customFormat="false" ht="15" hidden="false" customHeight="false" outlineLevel="0" collapsed="false">
      <c r="A26" s="7" t="s">
        <v>213</v>
      </c>
    </row>
    <row r="27" customFormat="false" ht="15" hidden="false" customHeight="false" outlineLevel="0" collapsed="false">
      <c r="A27" s="9" t="s">
        <v>214</v>
      </c>
      <c r="B27" s="18" t="s">
        <v>208</v>
      </c>
      <c r="C27" s="18" t="s">
        <v>209</v>
      </c>
      <c r="D27" s="18" t="s">
        <v>210</v>
      </c>
      <c r="E27" s="18" t="s">
        <v>215</v>
      </c>
      <c r="F27" s="18" t="s">
        <v>60</v>
      </c>
    </row>
    <row r="28" customFormat="false" ht="18.75" hidden="false" customHeight="true" outlineLevel="0" collapsed="false">
      <c r="A28" s="13" t="s">
        <v>216</v>
      </c>
      <c r="B28" s="19" t="n">
        <v>545</v>
      </c>
      <c r="C28" s="19" t="n">
        <v>192</v>
      </c>
      <c r="D28" s="19" t="n">
        <f aca="false">B28+C28</f>
        <v>737</v>
      </c>
      <c r="E28" s="20" t="n">
        <f aca="false">D28/$D$40</f>
        <v>0.0838452787258248</v>
      </c>
      <c r="F28" s="20" t="n">
        <f aca="false">C28/D28</f>
        <v>0.260515603799186</v>
      </c>
    </row>
    <row r="29" customFormat="false" ht="18.75" hidden="false" customHeight="true" outlineLevel="0" collapsed="false">
      <c r="A29" s="17" t="s">
        <v>217</v>
      </c>
      <c r="B29" s="21" t="n">
        <v>382</v>
      </c>
      <c r="C29" s="21" t="n">
        <v>180</v>
      </c>
      <c r="D29" s="21" t="n">
        <f aca="false">B29+C29</f>
        <v>562</v>
      </c>
      <c r="E29" s="22" t="n">
        <f aca="false">D29/$D$40</f>
        <v>0.0639362912400455</v>
      </c>
      <c r="F29" s="22" t="n">
        <f aca="false">C29/D29</f>
        <v>0.320284697508897</v>
      </c>
    </row>
    <row r="30" customFormat="false" ht="18.75" hidden="false" customHeight="true" outlineLevel="0" collapsed="false">
      <c r="A30" s="13" t="s">
        <v>218</v>
      </c>
      <c r="B30" s="19" t="n">
        <v>528</v>
      </c>
      <c r="C30" s="19" t="n">
        <v>213</v>
      </c>
      <c r="D30" s="19" t="n">
        <f aca="false">B30+C30</f>
        <v>741</v>
      </c>
      <c r="E30" s="20" t="n">
        <f aca="false">D30/$D$40</f>
        <v>0.0843003412969283</v>
      </c>
      <c r="F30" s="20" t="n">
        <f aca="false">C30/D30</f>
        <v>0.287449392712551</v>
      </c>
    </row>
    <row r="31" customFormat="false" ht="18.75" hidden="false" customHeight="true" outlineLevel="0" collapsed="false">
      <c r="A31" s="17" t="s">
        <v>219</v>
      </c>
      <c r="B31" s="21" t="n">
        <v>549</v>
      </c>
      <c r="C31" s="21" t="n">
        <v>214</v>
      </c>
      <c r="D31" s="21" t="n">
        <f aca="false">B31+C31</f>
        <v>763</v>
      </c>
      <c r="E31" s="22" t="n">
        <f aca="false">D31/$D$40</f>
        <v>0.0868031854379977</v>
      </c>
      <c r="F31" s="22" t="n">
        <f aca="false">C31/D31</f>
        <v>0.280471821756225</v>
      </c>
    </row>
    <row r="32" customFormat="false" ht="18.75" hidden="false" customHeight="true" outlineLevel="0" collapsed="false">
      <c r="A32" s="13" t="s">
        <v>220</v>
      </c>
      <c r="B32" s="19" t="n">
        <v>439</v>
      </c>
      <c r="C32" s="19" t="n">
        <v>193</v>
      </c>
      <c r="D32" s="19" t="n">
        <f aca="false">B32+C32</f>
        <v>632</v>
      </c>
      <c r="E32" s="20" t="n">
        <f aca="false">D32/$D$40</f>
        <v>0.0718998862343572</v>
      </c>
      <c r="F32" s="20" t="n">
        <f aca="false">C32/D32</f>
        <v>0.305379746835443</v>
      </c>
    </row>
    <row r="33" customFormat="false" ht="18.75" hidden="false" customHeight="true" outlineLevel="0" collapsed="false">
      <c r="A33" s="17" t="s">
        <v>221</v>
      </c>
      <c r="B33" s="21" t="n">
        <v>492</v>
      </c>
      <c r="C33" s="21" t="n">
        <v>236</v>
      </c>
      <c r="D33" s="21" t="n">
        <f aca="false">B33+C33</f>
        <v>728</v>
      </c>
      <c r="E33" s="22" t="n">
        <f aca="false">D33/$D$40</f>
        <v>0.0828213879408419</v>
      </c>
      <c r="F33" s="22" t="n">
        <f aca="false">C33/D33</f>
        <v>0.324175824175824</v>
      </c>
    </row>
    <row r="34" customFormat="false" ht="18.75" hidden="false" customHeight="true" outlineLevel="0" collapsed="false">
      <c r="A34" s="13" t="s">
        <v>222</v>
      </c>
      <c r="B34" s="19" t="n">
        <v>565</v>
      </c>
      <c r="C34" s="19" t="n">
        <v>262</v>
      </c>
      <c r="D34" s="19" t="n">
        <f aca="false">B34+C34</f>
        <v>827</v>
      </c>
      <c r="E34" s="20" t="n">
        <f aca="false">D34/$D$40</f>
        <v>0.0940841865756542</v>
      </c>
      <c r="F34" s="20" t="n">
        <f aca="false">C34/D34</f>
        <v>0.316807738814994</v>
      </c>
    </row>
    <row r="35" customFormat="false" ht="18.75" hidden="false" customHeight="true" outlineLevel="0" collapsed="false">
      <c r="A35" s="17" t="s">
        <v>223</v>
      </c>
      <c r="B35" s="21" t="n">
        <v>518</v>
      </c>
      <c r="C35" s="21" t="n">
        <v>236</v>
      </c>
      <c r="D35" s="21" t="n">
        <f aca="false">B35+C35</f>
        <v>754</v>
      </c>
      <c r="E35" s="22" t="n">
        <f aca="false">D35/$D$40</f>
        <v>0.0857792946530148</v>
      </c>
      <c r="F35" s="22" t="n">
        <f aca="false">C35/D35</f>
        <v>0.312997347480106</v>
      </c>
    </row>
    <row r="36" customFormat="false" ht="18.75" hidden="false" customHeight="true" outlineLevel="0" collapsed="false">
      <c r="A36" s="13" t="s">
        <v>224</v>
      </c>
      <c r="B36" s="19" t="n">
        <v>518</v>
      </c>
      <c r="C36" s="19" t="n">
        <v>251</v>
      </c>
      <c r="D36" s="19" t="n">
        <f aca="false">B36+C36</f>
        <v>769</v>
      </c>
      <c r="E36" s="20" t="n">
        <f aca="false">D36/$D$40</f>
        <v>0.087485779294653</v>
      </c>
      <c r="F36" s="20" t="n">
        <f aca="false">C36/D36</f>
        <v>0.326397919375813</v>
      </c>
    </row>
    <row r="37" customFormat="false" ht="18.75" hidden="false" customHeight="true" outlineLevel="0" collapsed="false">
      <c r="A37" s="17" t="s">
        <v>225</v>
      </c>
      <c r="B37" s="21" t="n">
        <v>545</v>
      </c>
      <c r="C37" s="21" t="n">
        <v>215</v>
      </c>
      <c r="D37" s="21" t="n">
        <f aca="false">B37+C37</f>
        <v>760</v>
      </c>
      <c r="E37" s="22" t="n">
        <f aca="false">D37/$D$40</f>
        <v>0.0864618885096701</v>
      </c>
      <c r="F37" s="22" t="n">
        <f aca="false">C37/D37</f>
        <v>0.282894736842105</v>
      </c>
    </row>
    <row r="38" customFormat="false" ht="18.75" hidden="false" customHeight="true" outlineLevel="0" collapsed="false">
      <c r="A38" s="13" t="s">
        <v>226</v>
      </c>
      <c r="B38" s="19" t="n">
        <v>498</v>
      </c>
      <c r="C38" s="19" t="n">
        <v>207</v>
      </c>
      <c r="D38" s="19" t="n">
        <f aca="false">B38+C38</f>
        <v>705</v>
      </c>
      <c r="E38" s="20" t="n">
        <f aca="false">D38/$D$40</f>
        <v>0.0802047781569966</v>
      </c>
      <c r="F38" s="20" t="n">
        <f aca="false">C38/D38</f>
        <v>0.293617021276596</v>
      </c>
    </row>
    <row r="39" customFormat="false" ht="18.75" hidden="false" customHeight="true" outlineLevel="0" collapsed="false">
      <c r="A39" s="17" t="s">
        <v>227</v>
      </c>
      <c r="B39" s="21" t="n">
        <v>547</v>
      </c>
      <c r="C39" s="21" t="n">
        <v>265</v>
      </c>
      <c r="D39" s="21" t="n">
        <f aca="false">B39+C39</f>
        <v>812</v>
      </c>
      <c r="E39" s="22" t="n">
        <f aca="false">D39/$D$40</f>
        <v>0.0923777019340159</v>
      </c>
      <c r="F39" s="22" t="n">
        <f aca="false">C39/D39</f>
        <v>0.326354679802956</v>
      </c>
    </row>
    <row r="40" customFormat="false" ht="21.75" hidden="false" customHeight="true" outlineLevel="0" collapsed="false">
      <c r="A40" s="23" t="s">
        <v>228</v>
      </c>
      <c r="B40" s="24" t="n">
        <f aca="false">SUM(B28:B39)</f>
        <v>6126</v>
      </c>
      <c r="C40" s="24" t="n">
        <f aca="false">SUM(C28:C39)</f>
        <v>2664</v>
      </c>
      <c r="D40" s="24" t="n">
        <f aca="false">SUM(D28:D39)</f>
        <v>8790</v>
      </c>
      <c r="E40" s="25" t="n">
        <f aca="false">SUM(E28:E39)</f>
        <v>1</v>
      </c>
      <c r="F40" s="25" t="n">
        <f aca="false">C40/D40</f>
        <v>0.303071672354949</v>
      </c>
    </row>
  </sheetData>
  <mergeCells count="14">
    <mergeCell ref="A1:N1"/>
    <mergeCell ref="A2:N2"/>
    <mergeCell ref="A4:C4"/>
    <mergeCell ref="D4:F4"/>
    <mergeCell ref="G4:I4"/>
    <mergeCell ref="J4:N4"/>
    <mergeCell ref="A5:C5"/>
    <mergeCell ref="D5:F5"/>
    <mergeCell ref="G5:I5"/>
    <mergeCell ref="J5:N5"/>
    <mergeCell ref="A6:C6"/>
    <mergeCell ref="D6:F6"/>
    <mergeCell ref="G6:I6"/>
    <mergeCell ref="J6:N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29"/>
    <col collapsed="false" customWidth="true" hidden="false" outlineLevel="0" max="8" min="8" style="0" width="27"/>
    <col collapsed="false" customWidth="true" hidden="false" outlineLevel="0" max="13" min="9" style="0" width="12"/>
  </cols>
  <sheetData>
    <row r="1" customFormat="false" ht="27.75" hidden="false" customHeight="true" outlineLevel="0" collapsed="false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230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8" hidden="false" customHeight="true" outlineLevel="0" collapsed="false">
      <c r="A4" s="3" t="s">
        <v>231</v>
      </c>
      <c r="B4" s="3"/>
      <c r="C4" s="3"/>
      <c r="D4" s="3" t="s">
        <v>232</v>
      </c>
      <c r="E4" s="3"/>
      <c r="F4" s="3"/>
      <c r="G4" s="3" t="s">
        <v>233</v>
      </c>
      <c r="H4" s="3"/>
      <c r="I4" s="3"/>
      <c r="J4" s="3" t="s">
        <v>234</v>
      </c>
      <c r="K4" s="3"/>
      <c r="L4" s="3"/>
      <c r="M4" s="3"/>
    </row>
    <row r="5" customFormat="false" ht="25.5" hidden="false" customHeight="true" outlineLevel="0" collapsed="false">
      <c r="A5" s="4" t="n">
        <f aca="false">D51</f>
        <v>13185</v>
      </c>
      <c r="B5" s="4"/>
      <c r="C5" s="4"/>
      <c r="D5" s="30" t="n">
        <f aca="false">D51/8790</f>
        <v>1.5</v>
      </c>
      <c r="E5" s="30"/>
      <c r="F5" s="30"/>
      <c r="G5" s="4" t="n">
        <f aca="false">D9</f>
        <v>2752</v>
      </c>
      <c r="H5" s="4"/>
      <c r="I5" s="4"/>
      <c r="J5" s="4" t="n">
        <f aca="false">D12</f>
        <v>0</v>
      </c>
      <c r="K5" s="4"/>
      <c r="L5" s="4"/>
      <c r="M5" s="4"/>
    </row>
    <row r="6" customFormat="false" ht="15.75" hidden="false" customHeight="true" outlineLevel="0" collapsed="false">
      <c r="A6" s="6" t="s">
        <v>235</v>
      </c>
      <c r="B6" s="6"/>
      <c r="C6" s="6"/>
      <c r="D6" s="6" t="s">
        <v>236</v>
      </c>
      <c r="E6" s="6"/>
      <c r="F6" s="6"/>
      <c r="G6" s="6" t="s">
        <v>237</v>
      </c>
      <c r="H6" s="6"/>
      <c r="I6" s="6"/>
      <c r="J6" s="6" t="s">
        <v>238</v>
      </c>
      <c r="K6" s="6"/>
      <c r="L6" s="6"/>
      <c r="M6" s="6"/>
    </row>
    <row r="7" customFormat="false" ht="15" hidden="false" customHeight="false" outlineLevel="0" collapsed="false">
      <c r="A7" s="7" t="s">
        <v>239</v>
      </c>
    </row>
    <row r="8" customFormat="false" ht="15" hidden="false" customHeight="false" outlineLevel="0" collapsed="false">
      <c r="A8" s="8" t="s">
        <v>240</v>
      </c>
      <c r="B8" s="9" t="s">
        <v>241</v>
      </c>
      <c r="C8" s="8" t="s">
        <v>242</v>
      </c>
      <c r="D8" s="18" t="s">
        <v>56</v>
      </c>
      <c r="E8" s="18" t="s">
        <v>57</v>
      </c>
      <c r="F8" s="18" t="s">
        <v>243</v>
      </c>
      <c r="G8" s="18" t="s">
        <v>244</v>
      </c>
      <c r="H8" s="18" t="s">
        <v>245</v>
      </c>
    </row>
    <row r="9" customFormat="false" ht="18" hidden="false" customHeight="true" outlineLevel="0" collapsed="false">
      <c r="A9" s="16" t="n">
        <v>1</v>
      </c>
      <c r="B9" s="17" t="s">
        <v>246</v>
      </c>
      <c r="C9" s="16" t="s">
        <v>247</v>
      </c>
      <c r="D9" s="21" t="n">
        <v>2752</v>
      </c>
      <c r="E9" s="21" t="n">
        <v>0</v>
      </c>
      <c r="F9" s="21" t="n">
        <f aca="false">D9+E9</f>
        <v>2752</v>
      </c>
      <c r="G9" s="22" t="n">
        <f aca="false">F9/$F$51</f>
        <v>0.142635016067171</v>
      </c>
      <c r="H9" s="22" t="n">
        <f aca="false">F9/8790</f>
        <v>0.313083048919226</v>
      </c>
    </row>
    <row r="10" customFormat="false" ht="18" hidden="false" customHeight="true" outlineLevel="0" collapsed="false">
      <c r="A10" s="12" t="n">
        <v>2</v>
      </c>
      <c r="B10" s="13" t="s">
        <v>248</v>
      </c>
      <c r="C10" s="12" t="s">
        <v>247</v>
      </c>
      <c r="D10" s="19" t="n">
        <v>2426</v>
      </c>
      <c r="E10" s="19" t="n">
        <v>0</v>
      </c>
      <c r="F10" s="19" t="n">
        <f aca="false">D10+E10</f>
        <v>2426</v>
      </c>
      <c r="G10" s="20" t="n">
        <f aca="false">F10/$F$51</f>
        <v>0.125738571576656</v>
      </c>
      <c r="H10" s="20" t="n">
        <f aca="false">F10/8790</f>
        <v>0.275995449374289</v>
      </c>
    </row>
    <row r="11" customFormat="false" ht="18" hidden="false" customHeight="true" outlineLevel="0" collapsed="false">
      <c r="A11" s="16" t="n">
        <v>3</v>
      </c>
      <c r="B11" s="17" t="s">
        <v>249</v>
      </c>
      <c r="C11" s="16" t="s">
        <v>247</v>
      </c>
      <c r="D11" s="21" t="n">
        <v>1674</v>
      </c>
      <c r="E11" s="21" t="n">
        <v>0</v>
      </c>
      <c r="F11" s="21" t="n">
        <f aca="false">D11+E11</f>
        <v>1674</v>
      </c>
      <c r="G11" s="22" t="n">
        <f aca="false">F11/$F$51</f>
        <v>0.0867627241629522</v>
      </c>
      <c r="H11" s="22" t="n">
        <f aca="false">F11/8790</f>
        <v>0.190443686006826</v>
      </c>
    </row>
    <row r="12" customFormat="false" ht="18" hidden="false" customHeight="true" outlineLevel="0" collapsed="false">
      <c r="A12" s="12" t="n">
        <v>4</v>
      </c>
      <c r="B12" s="13" t="s">
        <v>250</v>
      </c>
      <c r="C12" s="12" t="s">
        <v>251</v>
      </c>
      <c r="D12" s="19" t="n">
        <v>0</v>
      </c>
      <c r="E12" s="19" t="n">
        <v>1349</v>
      </c>
      <c r="F12" s="19" t="n">
        <f aca="false">D12+E12</f>
        <v>1349</v>
      </c>
      <c r="G12" s="20" t="n">
        <f aca="false">F12/$F$51</f>
        <v>0.0699181092567638</v>
      </c>
      <c r="H12" s="20" t="n">
        <f aca="false">F12/8790</f>
        <v>0.153469852104664</v>
      </c>
    </row>
    <row r="13" customFormat="false" ht="18" hidden="false" customHeight="true" outlineLevel="0" collapsed="false">
      <c r="A13" s="16" t="n">
        <v>5</v>
      </c>
      <c r="B13" s="17" t="s">
        <v>252</v>
      </c>
      <c r="C13" s="16" t="s">
        <v>247</v>
      </c>
      <c r="D13" s="21" t="n">
        <v>869</v>
      </c>
      <c r="E13" s="21" t="n">
        <v>0</v>
      </c>
      <c r="F13" s="21" t="n">
        <f aca="false">D13+E13</f>
        <v>869</v>
      </c>
      <c r="G13" s="22" t="n">
        <f aca="false">F13/$F$51</f>
        <v>0.0450399087799316</v>
      </c>
      <c r="H13" s="22" t="n">
        <f aca="false">F13/8790</f>
        <v>0.0988623435722412</v>
      </c>
    </row>
    <row r="14" customFormat="false" ht="18" hidden="false" customHeight="true" outlineLevel="0" collapsed="false">
      <c r="A14" s="12" t="n">
        <v>6</v>
      </c>
      <c r="B14" s="13" t="s">
        <v>253</v>
      </c>
      <c r="C14" s="12" t="s">
        <v>247</v>
      </c>
      <c r="D14" s="19" t="n">
        <v>859</v>
      </c>
      <c r="E14" s="19" t="n">
        <v>0</v>
      </c>
      <c r="F14" s="19" t="n">
        <f aca="false">D14+E14</f>
        <v>859</v>
      </c>
      <c r="G14" s="20" t="n">
        <f aca="false">F14/$F$51</f>
        <v>0.0445216129366643</v>
      </c>
      <c r="H14" s="20" t="n">
        <f aca="false">F14/8790</f>
        <v>0.0977246871444824</v>
      </c>
    </row>
    <row r="15" customFormat="false" ht="18" hidden="false" customHeight="true" outlineLevel="0" collapsed="false">
      <c r="A15" s="16" t="n">
        <v>7</v>
      </c>
      <c r="B15" s="17" t="s">
        <v>254</v>
      </c>
      <c r="C15" s="16" t="s">
        <v>251</v>
      </c>
      <c r="D15" s="21" t="n">
        <v>0</v>
      </c>
      <c r="E15" s="21" t="n">
        <v>762</v>
      </c>
      <c r="F15" s="21" t="n">
        <f aca="false">D15+E15</f>
        <v>762</v>
      </c>
      <c r="G15" s="22" t="n">
        <f aca="false">F15/$F$51</f>
        <v>0.0394941432569711</v>
      </c>
      <c r="H15" s="22" t="n">
        <f aca="false">F15/8790</f>
        <v>0.0866894197952218</v>
      </c>
    </row>
    <row r="16" customFormat="false" ht="18" hidden="false" customHeight="true" outlineLevel="0" collapsed="false">
      <c r="A16" s="12" t="n">
        <v>8</v>
      </c>
      <c r="B16" s="13" t="s">
        <v>255</v>
      </c>
      <c r="C16" s="12" t="s">
        <v>247</v>
      </c>
      <c r="D16" s="19" t="n">
        <v>756</v>
      </c>
      <c r="E16" s="19" t="n">
        <v>0</v>
      </c>
      <c r="F16" s="19" t="n">
        <f aca="false">D16+E16</f>
        <v>756</v>
      </c>
      <c r="G16" s="20" t="n">
        <f aca="false">F16/$F$51</f>
        <v>0.0391831657510107</v>
      </c>
      <c r="H16" s="20" t="n">
        <f aca="false">F16/8790</f>
        <v>0.0860068259385666</v>
      </c>
    </row>
    <row r="17" customFormat="false" ht="18" hidden="false" customHeight="true" outlineLevel="0" collapsed="false">
      <c r="A17" s="16" t="n">
        <v>9</v>
      </c>
      <c r="B17" s="17" t="s">
        <v>256</v>
      </c>
      <c r="C17" s="16" t="s">
        <v>247</v>
      </c>
      <c r="D17" s="21" t="n">
        <v>641</v>
      </c>
      <c r="E17" s="21" t="n">
        <v>0</v>
      </c>
      <c r="F17" s="21" t="n">
        <f aca="false">D17+E17</f>
        <v>641</v>
      </c>
      <c r="G17" s="22" t="n">
        <f aca="false">F17/$F$51</f>
        <v>0.0332227635534363</v>
      </c>
      <c r="H17" s="22" t="n">
        <f aca="false">F17/8790</f>
        <v>0.0729237770193402</v>
      </c>
    </row>
    <row r="18" customFormat="false" ht="18" hidden="false" customHeight="true" outlineLevel="0" collapsed="false">
      <c r="A18" s="12" t="n">
        <v>10</v>
      </c>
      <c r="B18" s="13" t="s">
        <v>257</v>
      </c>
      <c r="C18" s="12" t="s">
        <v>247</v>
      </c>
      <c r="D18" s="19" t="n">
        <v>616</v>
      </c>
      <c r="E18" s="19" t="n">
        <v>0</v>
      </c>
      <c r="F18" s="19" t="n">
        <f aca="false">D18+E18</f>
        <v>616</v>
      </c>
      <c r="G18" s="20" t="n">
        <f aca="false">F18/$F$51</f>
        <v>0.031927023945268</v>
      </c>
      <c r="H18" s="20" t="n">
        <f aca="false">F18/8790</f>
        <v>0.0700796359499431</v>
      </c>
    </row>
    <row r="19" customFormat="false" ht="18" hidden="false" customHeight="true" outlineLevel="0" collapsed="false">
      <c r="A19" s="16" t="n">
        <v>11</v>
      </c>
      <c r="B19" s="17" t="s">
        <v>258</v>
      </c>
      <c r="C19" s="16" t="s">
        <v>247</v>
      </c>
      <c r="D19" s="21" t="n">
        <v>577</v>
      </c>
      <c r="E19" s="21" t="n">
        <v>0</v>
      </c>
      <c r="F19" s="21" t="n">
        <f aca="false">D19+E19</f>
        <v>577</v>
      </c>
      <c r="G19" s="22" t="n">
        <f aca="false">F19/$F$51</f>
        <v>0.0299056701565253</v>
      </c>
      <c r="H19" s="22" t="n">
        <f aca="false">F19/8790</f>
        <v>0.0656427758816837</v>
      </c>
    </row>
    <row r="20" customFormat="false" ht="18" hidden="false" customHeight="true" outlineLevel="0" collapsed="false">
      <c r="A20" s="12" t="n">
        <v>12</v>
      </c>
      <c r="B20" s="13" t="s">
        <v>259</v>
      </c>
      <c r="C20" s="12" t="s">
        <v>251</v>
      </c>
      <c r="D20" s="19" t="n">
        <v>0</v>
      </c>
      <c r="E20" s="19" t="n">
        <v>573</v>
      </c>
      <c r="F20" s="19" t="n">
        <f aca="false">D20+E20</f>
        <v>573</v>
      </c>
      <c r="G20" s="20" t="n">
        <f aca="false">F20/$F$51</f>
        <v>0.0296983518192184</v>
      </c>
      <c r="H20" s="20" t="n">
        <f aca="false">F20/8790</f>
        <v>0.0651877133105802</v>
      </c>
    </row>
    <row r="21" customFormat="false" ht="18" hidden="false" customHeight="true" outlineLevel="0" collapsed="false">
      <c r="A21" s="16" t="n">
        <v>13</v>
      </c>
      <c r="B21" s="17" t="s">
        <v>260</v>
      </c>
      <c r="C21" s="16" t="s">
        <v>251</v>
      </c>
      <c r="D21" s="21" t="n">
        <v>0</v>
      </c>
      <c r="E21" s="21" t="n">
        <v>469</v>
      </c>
      <c r="F21" s="21" t="n">
        <f aca="false">D21+E21</f>
        <v>469</v>
      </c>
      <c r="G21" s="22" t="n">
        <f aca="false">F21/$F$51</f>
        <v>0.0243080750492381</v>
      </c>
      <c r="H21" s="22" t="n">
        <f aca="false">F21/8790</f>
        <v>0.0533560864618885</v>
      </c>
    </row>
    <row r="22" customFormat="false" ht="18" hidden="false" customHeight="true" outlineLevel="0" collapsed="false">
      <c r="A22" s="12" t="n">
        <v>14</v>
      </c>
      <c r="B22" s="13" t="s">
        <v>261</v>
      </c>
      <c r="C22" s="12" t="s">
        <v>251</v>
      </c>
      <c r="D22" s="19" t="n">
        <v>0</v>
      </c>
      <c r="E22" s="19" t="n">
        <v>448</v>
      </c>
      <c r="F22" s="19" t="n">
        <f aca="false">D22+E22</f>
        <v>448</v>
      </c>
      <c r="G22" s="20" t="n">
        <f aca="false">F22/$F$51</f>
        <v>0.0232196537783767</v>
      </c>
      <c r="H22" s="20" t="n">
        <f aca="false">F22/8790</f>
        <v>0.050967007963595</v>
      </c>
    </row>
    <row r="23" customFormat="false" ht="18" hidden="false" customHeight="true" outlineLevel="0" collapsed="false">
      <c r="A23" s="16" t="n">
        <v>15</v>
      </c>
      <c r="B23" s="17" t="s">
        <v>262</v>
      </c>
      <c r="C23" s="16" t="s">
        <v>251</v>
      </c>
      <c r="D23" s="21" t="n">
        <v>0</v>
      </c>
      <c r="E23" s="21" t="n">
        <v>394</v>
      </c>
      <c r="F23" s="21" t="n">
        <f aca="false">D23+E23</f>
        <v>394</v>
      </c>
      <c r="G23" s="22" t="n">
        <f aca="false">F23/$F$51</f>
        <v>0.0204208562247331</v>
      </c>
      <c r="H23" s="22" t="n">
        <f aca="false">F23/8790</f>
        <v>0.0448236632536974</v>
      </c>
    </row>
    <row r="24" customFormat="false" ht="18" hidden="false" customHeight="true" outlineLevel="0" collapsed="false">
      <c r="A24" s="12" t="n">
        <v>16</v>
      </c>
      <c r="B24" s="13" t="s">
        <v>263</v>
      </c>
      <c r="C24" s="12" t="s">
        <v>247</v>
      </c>
      <c r="D24" s="19" t="n">
        <v>375</v>
      </c>
      <c r="E24" s="19" t="n">
        <v>0</v>
      </c>
      <c r="F24" s="19" t="n">
        <f aca="false">D24+E24</f>
        <v>375</v>
      </c>
      <c r="G24" s="20" t="n">
        <f aca="false">F24/$F$51</f>
        <v>0.0194360941225251</v>
      </c>
      <c r="H24" s="20" t="n">
        <f aca="false">F24/8790</f>
        <v>0.0426621160409556</v>
      </c>
    </row>
    <row r="25" customFormat="false" ht="18" hidden="false" customHeight="true" outlineLevel="0" collapsed="false">
      <c r="A25" s="16" t="n">
        <v>17</v>
      </c>
      <c r="B25" s="17" t="s">
        <v>264</v>
      </c>
      <c r="C25" s="16" t="s">
        <v>251</v>
      </c>
      <c r="D25" s="21" t="n">
        <v>0</v>
      </c>
      <c r="E25" s="21" t="n">
        <v>370</v>
      </c>
      <c r="F25" s="21" t="n">
        <f aca="false">D25+E25</f>
        <v>370</v>
      </c>
      <c r="G25" s="22" t="n">
        <f aca="false">F25/$F$51</f>
        <v>0.0191769462008915</v>
      </c>
      <c r="H25" s="22" t="n">
        <f aca="false">F25/8790</f>
        <v>0.0420932878270762</v>
      </c>
    </row>
    <row r="26" customFormat="false" ht="18" hidden="false" customHeight="true" outlineLevel="0" collapsed="false">
      <c r="A26" s="12" t="n">
        <v>18</v>
      </c>
      <c r="B26" s="13" t="s">
        <v>265</v>
      </c>
      <c r="C26" s="12" t="s">
        <v>247</v>
      </c>
      <c r="D26" s="19" t="n">
        <v>357</v>
      </c>
      <c r="E26" s="19" t="n">
        <v>0</v>
      </c>
      <c r="F26" s="19" t="n">
        <f aca="false">D26+E26</f>
        <v>357</v>
      </c>
      <c r="G26" s="20" t="n">
        <f aca="false">F26/$F$51</f>
        <v>0.0185031616046439</v>
      </c>
      <c r="H26" s="20" t="n">
        <f aca="false">F26/8790</f>
        <v>0.0406143344709898</v>
      </c>
    </row>
    <row r="27" customFormat="false" ht="18" hidden="false" customHeight="true" outlineLevel="0" collapsed="false">
      <c r="A27" s="16" t="n">
        <v>19</v>
      </c>
      <c r="B27" s="17" t="s">
        <v>266</v>
      </c>
      <c r="C27" s="16" t="s">
        <v>247</v>
      </c>
      <c r="D27" s="21" t="n">
        <v>343</v>
      </c>
      <c r="E27" s="21" t="n">
        <v>0</v>
      </c>
      <c r="F27" s="21" t="n">
        <f aca="false">D27+E27</f>
        <v>343</v>
      </c>
      <c r="G27" s="22" t="n">
        <f aca="false">F27/$F$51</f>
        <v>0.0177775474240697</v>
      </c>
      <c r="H27" s="22" t="n">
        <f aca="false">F27/8790</f>
        <v>0.0390216154721274</v>
      </c>
    </row>
    <row r="28" customFormat="false" ht="18" hidden="false" customHeight="true" outlineLevel="0" collapsed="false">
      <c r="A28" s="12" t="n">
        <v>20</v>
      </c>
      <c r="B28" s="13" t="s">
        <v>267</v>
      </c>
      <c r="C28" s="12" t="s">
        <v>251</v>
      </c>
      <c r="D28" s="19" t="n">
        <v>0</v>
      </c>
      <c r="E28" s="19" t="n">
        <v>255</v>
      </c>
      <c r="F28" s="19" t="n">
        <f aca="false">D28+E28</f>
        <v>255</v>
      </c>
      <c r="G28" s="20" t="n">
        <f aca="false">F28/$F$51</f>
        <v>0.0132165440033171</v>
      </c>
      <c r="H28" s="20" t="n">
        <f aca="false">F28/8790</f>
        <v>0.0290102389078498</v>
      </c>
    </row>
    <row r="29" customFormat="false" ht="18" hidden="false" customHeight="true" outlineLevel="0" collapsed="false">
      <c r="A29" s="16" t="n">
        <v>21</v>
      </c>
      <c r="B29" s="17" t="s">
        <v>268</v>
      </c>
      <c r="C29" s="16" t="s">
        <v>251</v>
      </c>
      <c r="D29" s="21" t="n">
        <v>0</v>
      </c>
      <c r="E29" s="21" t="n">
        <v>252</v>
      </c>
      <c r="F29" s="21" t="n">
        <f aca="false">D29+E29</f>
        <v>252</v>
      </c>
      <c r="G29" s="22" t="n">
        <f aca="false">F29/$F$51</f>
        <v>0.0130610552503369</v>
      </c>
      <c r="H29" s="22" t="n">
        <f aca="false">F29/8790</f>
        <v>0.0286689419795222</v>
      </c>
    </row>
    <row r="30" customFormat="false" ht="18" hidden="false" customHeight="true" outlineLevel="0" collapsed="false">
      <c r="A30" s="12" t="n">
        <v>22</v>
      </c>
      <c r="B30" s="13" t="s">
        <v>269</v>
      </c>
      <c r="C30" s="12" t="s">
        <v>247</v>
      </c>
      <c r="D30" s="19" t="n">
        <v>243</v>
      </c>
      <c r="E30" s="19" t="n">
        <v>0</v>
      </c>
      <c r="F30" s="19" t="n">
        <f aca="false">D30+E30</f>
        <v>243</v>
      </c>
      <c r="G30" s="20" t="n">
        <f aca="false">F30/$F$51</f>
        <v>0.0125945889913963</v>
      </c>
      <c r="H30" s="20" t="n">
        <f aca="false">F30/8790</f>
        <v>0.0276450511945393</v>
      </c>
    </row>
    <row r="31" customFormat="false" ht="18" hidden="false" customHeight="true" outlineLevel="0" collapsed="false">
      <c r="A31" s="16" t="n">
        <v>23</v>
      </c>
      <c r="B31" s="17" t="s">
        <v>270</v>
      </c>
      <c r="C31" s="16" t="s">
        <v>247</v>
      </c>
      <c r="D31" s="21" t="n">
        <v>219</v>
      </c>
      <c r="E31" s="21" t="n">
        <v>0</v>
      </c>
      <c r="F31" s="21" t="n">
        <f aca="false">D31+E31</f>
        <v>219</v>
      </c>
      <c r="G31" s="22" t="n">
        <f aca="false">F31/$F$51</f>
        <v>0.0113506789675547</v>
      </c>
      <c r="H31" s="22" t="n">
        <f aca="false">F31/8790</f>
        <v>0.0249146757679181</v>
      </c>
    </row>
    <row r="32" customFormat="false" ht="18" hidden="false" customHeight="true" outlineLevel="0" collapsed="false">
      <c r="A32" s="12" t="n">
        <v>24</v>
      </c>
      <c r="B32" s="13" t="s">
        <v>271</v>
      </c>
      <c r="C32" s="12" t="s">
        <v>251</v>
      </c>
      <c r="D32" s="19" t="n">
        <v>0</v>
      </c>
      <c r="E32" s="19" t="n">
        <v>174</v>
      </c>
      <c r="F32" s="19" t="n">
        <f aca="false">D32+E32</f>
        <v>174</v>
      </c>
      <c r="G32" s="20" t="n">
        <f aca="false">F32/$F$51</f>
        <v>0.00901834767285166</v>
      </c>
      <c r="H32" s="20" t="n">
        <f aca="false">F32/8790</f>
        <v>0.0197952218430034</v>
      </c>
    </row>
    <row r="33" customFormat="false" ht="18" hidden="false" customHeight="true" outlineLevel="0" collapsed="false">
      <c r="A33" s="16" t="n">
        <v>25</v>
      </c>
      <c r="B33" s="17" t="s">
        <v>272</v>
      </c>
      <c r="C33" s="16" t="s">
        <v>251</v>
      </c>
      <c r="D33" s="21" t="n">
        <v>0</v>
      </c>
      <c r="E33" s="21" t="n">
        <v>173</v>
      </c>
      <c r="F33" s="21" t="n">
        <f aca="false">D33+E33</f>
        <v>173</v>
      </c>
      <c r="G33" s="22" t="n">
        <f aca="false">F33/$F$51</f>
        <v>0.00896651808852493</v>
      </c>
      <c r="H33" s="22" t="n">
        <f aca="false">F33/8790</f>
        <v>0.0196814562002275</v>
      </c>
    </row>
    <row r="34" customFormat="false" ht="18" hidden="false" customHeight="true" outlineLevel="0" collapsed="false">
      <c r="A34" s="12" t="n">
        <v>26</v>
      </c>
      <c r="B34" s="13" t="s">
        <v>273</v>
      </c>
      <c r="C34" s="12" t="s">
        <v>251</v>
      </c>
      <c r="D34" s="19" t="n">
        <v>0</v>
      </c>
      <c r="E34" s="19" t="n">
        <v>167</v>
      </c>
      <c r="F34" s="19" t="n">
        <f aca="false">D34+E34</f>
        <v>167</v>
      </c>
      <c r="G34" s="20" t="n">
        <f aca="false">F34/$F$51</f>
        <v>0.00865554058256453</v>
      </c>
      <c r="H34" s="20" t="n">
        <f aca="false">F34/8790</f>
        <v>0.0189988623435722</v>
      </c>
    </row>
    <row r="35" customFormat="false" ht="18" hidden="false" customHeight="true" outlineLevel="0" collapsed="false">
      <c r="A35" s="16" t="n">
        <v>27</v>
      </c>
      <c r="B35" s="17" t="s">
        <v>274</v>
      </c>
      <c r="C35" s="16" t="s">
        <v>251</v>
      </c>
      <c r="D35" s="21" t="n">
        <v>0</v>
      </c>
      <c r="E35" s="21" t="n">
        <v>151</v>
      </c>
      <c r="F35" s="21" t="n">
        <f aca="false">D35+E35</f>
        <v>151</v>
      </c>
      <c r="G35" s="22" t="n">
        <f aca="false">F35/$F$51</f>
        <v>0.00782626723333679</v>
      </c>
      <c r="H35" s="22" t="n">
        <f aca="false">F35/8790</f>
        <v>0.0171786120591581</v>
      </c>
    </row>
    <row r="36" customFormat="false" ht="18" hidden="false" customHeight="true" outlineLevel="0" collapsed="false">
      <c r="A36" s="12" t="n">
        <v>28</v>
      </c>
      <c r="B36" s="13" t="s">
        <v>275</v>
      </c>
      <c r="C36" s="12" t="s">
        <v>247</v>
      </c>
      <c r="D36" s="19" t="n">
        <v>116</v>
      </c>
      <c r="E36" s="19" t="n">
        <v>0</v>
      </c>
      <c r="F36" s="19" t="n">
        <f aca="false">D36+E36</f>
        <v>116</v>
      </c>
      <c r="G36" s="20" t="n">
        <f aca="false">F36/$F$51</f>
        <v>0.00601223178190111</v>
      </c>
      <c r="H36" s="20" t="n">
        <f aca="false">F36/8790</f>
        <v>0.0131968145620023</v>
      </c>
    </row>
    <row r="37" customFormat="false" ht="18" hidden="false" customHeight="true" outlineLevel="0" collapsed="false">
      <c r="A37" s="16" t="n">
        <v>29</v>
      </c>
      <c r="B37" s="17" t="s">
        <v>276</v>
      </c>
      <c r="C37" s="16" t="s">
        <v>247</v>
      </c>
      <c r="D37" s="21" t="n">
        <v>102</v>
      </c>
      <c r="E37" s="21" t="n">
        <v>0</v>
      </c>
      <c r="F37" s="21" t="n">
        <f aca="false">D37+E37</f>
        <v>102</v>
      </c>
      <c r="G37" s="22" t="n">
        <f aca="false">F37/$F$51</f>
        <v>0.00528661760132684</v>
      </c>
      <c r="H37" s="22" t="n">
        <f aca="false">F37/8790</f>
        <v>0.0116040955631399</v>
      </c>
    </row>
    <row r="38" customFormat="false" ht="18" hidden="false" customHeight="true" outlineLevel="0" collapsed="false">
      <c r="A38" s="12" t="n">
        <v>30</v>
      </c>
      <c r="B38" s="13" t="s">
        <v>277</v>
      </c>
      <c r="C38" s="12" t="s">
        <v>251</v>
      </c>
      <c r="D38" s="19" t="n">
        <v>0</v>
      </c>
      <c r="E38" s="19" t="n">
        <v>98</v>
      </c>
      <c r="F38" s="19" t="n">
        <f aca="false">D38+E38</f>
        <v>98</v>
      </c>
      <c r="G38" s="20" t="n">
        <f aca="false">F38/$F$51</f>
        <v>0.0050792992640199</v>
      </c>
      <c r="H38" s="20" t="n">
        <f aca="false">F38/8790</f>
        <v>0.0111490329920364</v>
      </c>
    </row>
    <row r="39" customFormat="false" ht="18" hidden="false" customHeight="true" outlineLevel="0" collapsed="false">
      <c r="A39" s="16" t="n">
        <v>31</v>
      </c>
      <c r="B39" s="17" t="s">
        <v>278</v>
      </c>
      <c r="C39" s="16" t="s">
        <v>251</v>
      </c>
      <c r="D39" s="21" t="n">
        <v>0</v>
      </c>
      <c r="E39" s="21" t="n">
        <v>92</v>
      </c>
      <c r="F39" s="21" t="n">
        <f aca="false">D39+E39</f>
        <v>92</v>
      </c>
      <c r="G39" s="22" t="n">
        <f aca="false">F39/$F$51</f>
        <v>0.0047683217580595</v>
      </c>
      <c r="H39" s="22" t="n">
        <f aca="false">F39/8790</f>
        <v>0.0104664391353811</v>
      </c>
    </row>
    <row r="40" customFormat="false" ht="18" hidden="false" customHeight="true" outlineLevel="0" collapsed="false">
      <c r="A40" s="12" t="n">
        <v>32</v>
      </c>
      <c r="B40" s="13" t="s">
        <v>279</v>
      </c>
      <c r="C40" s="12" t="s">
        <v>251</v>
      </c>
      <c r="D40" s="19" t="n">
        <v>0</v>
      </c>
      <c r="E40" s="19" t="n">
        <v>83</v>
      </c>
      <c r="F40" s="19" t="n">
        <f aca="false">D40+E40</f>
        <v>83</v>
      </c>
      <c r="G40" s="20" t="n">
        <f aca="false">F40/$F$51</f>
        <v>0.0043018554991189</v>
      </c>
      <c r="H40" s="20" t="n">
        <f aca="false">F40/8790</f>
        <v>0.00944254835039818</v>
      </c>
    </row>
    <row r="41" customFormat="false" ht="18" hidden="false" customHeight="true" outlineLevel="0" collapsed="false">
      <c r="A41" s="16" t="n">
        <v>33</v>
      </c>
      <c r="B41" s="17" t="s">
        <v>280</v>
      </c>
      <c r="C41" s="16" t="s">
        <v>251</v>
      </c>
      <c r="D41" s="21" t="n">
        <v>0</v>
      </c>
      <c r="E41" s="21" t="n">
        <v>75</v>
      </c>
      <c r="F41" s="21" t="n">
        <f aca="false">D41+E41</f>
        <v>75</v>
      </c>
      <c r="G41" s="22" t="n">
        <f aca="false">F41/$F$51</f>
        <v>0.00388721882450503</v>
      </c>
      <c r="H41" s="22" t="n">
        <f aca="false">F41/8790</f>
        <v>0.00853242320819113</v>
      </c>
    </row>
    <row r="42" customFormat="false" ht="18" hidden="false" customHeight="true" outlineLevel="0" collapsed="false">
      <c r="A42" s="12" t="n">
        <v>34</v>
      </c>
      <c r="B42" s="13" t="s">
        <v>281</v>
      </c>
      <c r="C42" s="12" t="s">
        <v>247</v>
      </c>
      <c r="D42" s="19" t="n">
        <v>71</v>
      </c>
      <c r="E42" s="19" t="n">
        <v>0</v>
      </c>
      <c r="F42" s="19" t="n">
        <f aca="false">D42+E42</f>
        <v>71</v>
      </c>
      <c r="G42" s="20" t="n">
        <f aca="false">F42/$F$51</f>
        <v>0.00367990048719809</v>
      </c>
      <c r="H42" s="20" t="n">
        <f aca="false">F42/8790</f>
        <v>0.0080773606370876</v>
      </c>
    </row>
    <row r="43" customFormat="false" ht="18" hidden="false" customHeight="true" outlineLevel="0" collapsed="false">
      <c r="A43" s="16" t="n">
        <v>35</v>
      </c>
      <c r="B43" s="17" t="s">
        <v>282</v>
      </c>
      <c r="C43" s="16" t="s">
        <v>247</v>
      </c>
      <c r="D43" s="21" t="n">
        <v>71</v>
      </c>
      <c r="E43" s="21" t="n">
        <v>0</v>
      </c>
      <c r="F43" s="21" t="n">
        <f aca="false">D43+E43</f>
        <v>71</v>
      </c>
      <c r="G43" s="22" t="n">
        <f aca="false">F43/$F$51</f>
        <v>0.00367990048719809</v>
      </c>
      <c r="H43" s="22" t="n">
        <f aca="false">F43/8790</f>
        <v>0.0080773606370876</v>
      </c>
    </row>
    <row r="44" customFormat="false" ht="18" hidden="false" customHeight="true" outlineLevel="0" collapsed="false">
      <c r="A44" s="12" t="n">
        <v>36</v>
      </c>
      <c r="B44" s="13" t="s">
        <v>283</v>
      </c>
      <c r="C44" s="12" t="s">
        <v>251</v>
      </c>
      <c r="D44" s="19" t="n">
        <v>0</v>
      </c>
      <c r="E44" s="19" t="n">
        <v>69</v>
      </c>
      <c r="F44" s="19" t="n">
        <f aca="false">D44+E44</f>
        <v>69</v>
      </c>
      <c r="G44" s="20" t="n">
        <f aca="false">F44/$F$51</f>
        <v>0.00357624131854463</v>
      </c>
      <c r="H44" s="20" t="n">
        <f aca="false">F44/8790</f>
        <v>0.00784982935153584</v>
      </c>
    </row>
    <row r="45" customFormat="false" ht="18" hidden="false" customHeight="true" outlineLevel="0" collapsed="false">
      <c r="A45" s="16" t="n">
        <v>37</v>
      </c>
      <c r="B45" s="17" t="s">
        <v>284</v>
      </c>
      <c r="C45" s="16" t="s">
        <v>247</v>
      </c>
      <c r="D45" s="21" t="n">
        <v>65</v>
      </c>
      <c r="E45" s="21" t="n">
        <v>0</v>
      </c>
      <c r="F45" s="21" t="n">
        <f aca="false">D45+E45</f>
        <v>65</v>
      </c>
      <c r="G45" s="22" t="n">
        <f aca="false">F45/$F$51</f>
        <v>0.00336892298123769</v>
      </c>
      <c r="H45" s="22" t="n">
        <f aca="false">F45/8790</f>
        <v>0.00739476678043231</v>
      </c>
    </row>
    <row r="46" customFormat="false" ht="18" hidden="false" customHeight="true" outlineLevel="0" collapsed="false">
      <c r="A46" s="12" t="n">
        <v>38</v>
      </c>
      <c r="B46" s="13" t="s">
        <v>285</v>
      </c>
      <c r="C46" s="12" t="s">
        <v>251</v>
      </c>
      <c r="D46" s="19" t="n">
        <v>0</v>
      </c>
      <c r="E46" s="19" t="n">
        <v>57</v>
      </c>
      <c r="F46" s="19" t="n">
        <f aca="false">D46+E46</f>
        <v>57</v>
      </c>
      <c r="G46" s="20" t="n">
        <f aca="false">F46/$F$51</f>
        <v>0.00295428630662382</v>
      </c>
      <c r="H46" s="20" t="n">
        <f aca="false">F46/8790</f>
        <v>0.00648464163822526</v>
      </c>
    </row>
    <row r="47" customFormat="false" ht="18" hidden="false" customHeight="true" outlineLevel="0" collapsed="false">
      <c r="A47" s="16" t="n">
        <v>39</v>
      </c>
      <c r="B47" s="17" t="s">
        <v>286</v>
      </c>
      <c r="C47" s="16" t="s">
        <v>251</v>
      </c>
      <c r="D47" s="21" t="n">
        <v>0</v>
      </c>
      <c r="E47" s="21" t="n">
        <v>56</v>
      </c>
      <c r="F47" s="21" t="n">
        <f aca="false">D47+E47</f>
        <v>56</v>
      </c>
      <c r="G47" s="22" t="n">
        <f aca="false">F47/$F$51</f>
        <v>0.00290245672229709</v>
      </c>
      <c r="H47" s="22" t="n">
        <f aca="false">F47/8790</f>
        <v>0.00637087599544938</v>
      </c>
    </row>
    <row r="48" customFormat="false" ht="18" hidden="false" customHeight="true" outlineLevel="0" collapsed="false">
      <c r="A48" s="12" t="n">
        <v>40</v>
      </c>
      <c r="B48" s="13" t="s">
        <v>125</v>
      </c>
      <c r="C48" s="12" t="s">
        <v>247</v>
      </c>
      <c r="D48" s="19" t="n">
        <v>53</v>
      </c>
      <c r="E48" s="19" t="n">
        <v>0</v>
      </c>
      <c r="F48" s="19" t="n">
        <f aca="false">D48+E48</f>
        <v>53</v>
      </c>
      <c r="G48" s="20" t="n">
        <f aca="false">F48/$F$51</f>
        <v>0.00274696796931689</v>
      </c>
      <c r="H48" s="20" t="n">
        <f aca="false">F48/8790</f>
        <v>0.00602957906712173</v>
      </c>
    </row>
    <row r="49" customFormat="false" ht="18" hidden="false" customHeight="true" outlineLevel="0" collapsed="false">
      <c r="A49" s="16" t="n">
        <v>41</v>
      </c>
      <c r="B49" s="17" t="s">
        <v>287</v>
      </c>
      <c r="C49" s="16" t="s">
        <v>251</v>
      </c>
      <c r="D49" s="21" t="n">
        <v>0</v>
      </c>
      <c r="E49" s="21" t="n">
        <v>26</v>
      </c>
      <c r="F49" s="21" t="n">
        <f aca="false">D49+E49</f>
        <v>26</v>
      </c>
      <c r="G49" s="22" t="n">
        <f aca="false">F49/$F$51</f>
        <v>0.00134756919249508</v>
      </c>
      <c r="H49" s="22" t="n">
        <f aca="false">F49/8790</f>
        <v>0.00295790671217292</v>
      </c>
    </row>
    <row r="50" customFormat="false" ht="18" hidden="false" customHeight="true" outlineLevel="0" collapsed="false">
      <c r="A50" s="12" t="n">
        <v>42</v>
      </c>
      <c r="B50" s="13" t="s">
        <v>126</v>
      </c>
      <c r="C50" s="12" t="s">
        <v>251</v>
      </c>
      <c r="D50" s="19" t="n">
        <v>0</v>
      </c>
      <c r="E50" s="19" t="n">
        <v>16</v>
      </c>
      <c r="F50" s="19" t="n">
        <f aca="false">D50+E50</f>
        <v>16</v>
      </c>
      <c r="G50" s="20" t="n">
        <f aca="false">F50/$F$51</f>
        <v>0.000829273349227739</v>
      </c>
      <c r="H50" s="20" t="n">
        <f aca="false">F50/8790</f>
        <v>0.00182025028441411</v>
      </c>
    </row>
    <row r="51" customFormat="false" ht="21.75" hidden="false" customHeight="true" outlineLevel="0" collapsed="false">
      <c r="A51" s="29" t="s">
        <v>288</v>
      </c>
      <c r="B51" s="23" t="s">
        <v>289</v>
      </c>
      <c r="C51" s="29" t="s">
        <v>290</v>
      </c>
      <c r="D51" s="24" t="n">
        <f aca="false">SUM(D9:D50)</f>
        <v>13185</v>
      </c>
      <c r="E51" s="24" t="n">
        <f aca="false">SUM(E9:E50)</f>
        <v>6109</v>
      </c>
      <c r="F51" s="24" t="n">
        <f aca="false">SUM(F9:F50)</f>
        <v>19294</v>
      </c>
      <c r="G51" s="25" t="n">
        <f aca="false">SUM(G9:G50)</f>
        <v>1</v>
      </c>
      <c r="H51" s="25" t="n">
        <f aca="false">F51/8790</f>
        <v>2.19499431171786</v>
      </c>
    </row>
  </sheetData>
  <mergeCells count="14">
    <mergeCell ref="A1:M1"/>
    <mergeCell ref="A2:M2"/>
    <mergeCell ref="A4:C4"/>
    <mergeCell ref="D4:F4"/>
    <mergeCell ref="G4:I4"/>
    <mergeCell ref="J4:M4"/>
    <mergeCell ref="A5:C5"/>
    <mergeCell ref="D5:F5"/>
    <mergeCell ref="G5:I5"/>
    <mergeCell ref="J5:M5"/>
    <mergeCell ref="A6:C6"/>
    <mergeCell ref="D6:F6"/>
    <mergeCell ref="G6:I6"/>
    <mergeCell ref="J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2026-10-14T12:56:39Z</dcterms:created>
  <dc:creator>openpyxl</dc:creator>
  <dc:description/>
  <dc:language>en-US</dc:language>
  <cp:lastModifiedBy/>
  <dcterms:modified xsi:type="dcterms:W3CDTF">2026-10-14T12:56:39Z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